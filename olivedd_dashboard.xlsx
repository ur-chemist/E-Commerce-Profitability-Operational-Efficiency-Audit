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ducts" sheetId="2" state="visible" r:id="rId4"/>
    <sheet name="Revenue_Profit" sheetId="3" state="visible" r:id="rId5"/>
    <sheet name="Customers" sheetId="4" state="visible" r:id="rId6"/>
    <sheet name="Channels_Regions" sheetId="5" state="visible" r:id="rId7"/>
    <sheet name="Discounts" sheetId="6" state="visible" r:id="rId8"/>
    <sheet name="Returns" sheetId="7" state="visible" r:id="rId9"/>
    <sheet name="Seasonality" sheetId="8" state="visible" r:id="rId10"/>
    <sheet name="Data_Tables" sheetId="9" state="visible" r:id="rId11"/>
    <sheet name="Notes" sheetId="10" state="visible" r:id="rId12"/>
  </sheets>
  <definedNames>
    <definedName function="false" hidden="true" localSheetId="8" name="_xlnm._FilterDatabase" vbProcedure="false">Data_Tables!$A$4:$F$54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<sst xmlns="http://schemas.openxmlformats.org/spreadsheetml/2006/main" count="630" uniqueCount="318">
  <si>
    <t xml:space="preserve">🛒  OLIVEDD  |  E-Commerce Sales &amp; Customer Analytics  |  Executive BI Dashboard</t>
  </si>
  <si>
    <t xml:space="preserve">Source: Kaggle — datascikhan/e-commerce-sales-and-customer-analytics  |  Prepared for CO &amp; CFO</t>
  </si>
  <si>
    <t xml:space="preserve">💰 Total Revenue</t>
  </si>
  <si>
    <t xml:space="preserve">📦 Total Orders</t>
  </si>
  <si>
    <t xml:space="preserve">📊 Avg Margin</t>
  </si>
  <si>
    <t xml:space="preserve">↩️ Return Rate</t>
  </si>
  <si>
    <t xml:space="preserve">👥 Top Segment</t>
  </si>
  <si>
    <t xml:space="preserve">🌍 Top Region</t>
  </si>
  <si>
    <t xml:space="preserve">📢 Top Channel</t>
  </si>
  <si>
    <t xml:space="preserve">🏆 Best Margin</t>
  </si>
  <si>
    <t xml:space="preserve">$192.1M</t>
  </si>
  <si>
    <t xml:space="preserve">138,116</t>
  </si>
  <si>
    <t xml:space="preserve">46.1%</t>
  </si>
  <si>
    <t xml:space="preserve">6.85%</t>
  </si>
  <si>
    <t xml:space="preserve">Consumer</t>
  </si>
  <si>
    <t xml:space="preserve">South</t>
  </si>
  <si>
    <t xml:space="preserve">Organic</t>
  </si>
  <si>
    <t xml:space="preserve">54.11%</t>
  </si>
  <si>
    <t xml:space="preserve">All gross orders</t>
  </si>
  <si>
    <t xml:space="preserve">All transactions</t>
  </si>
  <si>
    <t xml:space="preserve">Blended net margin</t>
  </si>
  <si>
    <t xml:space="preserve">Across all segments</t>
  </si>
  <si>
    <t xml:space="preserve">75,636 orders</t>
  </si>
  <si>
    <t xml:space="preserve">Highest revenue</t>
  </si>
  <si>
    <t xml:space="preserve">Search = #1 rev</t>
  </si>
  <si>
    <t xml:space="preserve">No-discount tier</t>
  </si>
  <si>
    <t xml:space="preserve">📊 Revenue &amp; Profit by Discount Tier — Key Business Insight</t>
  </si>
  <si>
    <t xml:space="preserve">Discount Tier</t>
  </si>
  <si>
    <t xml:space="preserve">Orders</t>
  </si>
  <si>
    <t xml:space="preserve">Gross Rev ($M)</t>
  </si>
  <si>
    <t xml:space="preserve">Net Rev ($M)</t>
  </si>
  <si>
    <t xml:space="preserve">Profit ($M)</t>
  </si>
  <si>
    <t xml:space="preserve">Margin %</t>
  </si>
  <si>
    <t xml:space="preserve">Verdict</t>
  </si>
  <si>
    <t xml:space="preserve">Tier</t>
  </si>
  <si>
    <t xml:space="preserve">No Discount (0%)</t>
  </si>
  <si>
    <t xml:space="preserve">🟢 Best margin tier</t>
  </si>
  <si>
    <t xml:space="preserve">No Disc</t>
  </si>
  <si>
    <t xml:space="preserve">Light (1-10%)</t>
  </si>
  <si>
    <t xml:space="preserve">🟡 Still profitable</t>
  </si>
  <si>
    <t xml:space="preserve">Light</t>
  </si>
  <si>
    <t xml:space="preserve">Moderate (11-20%)</t>
  </si>
  <si>
    <t xml:space="preserve">🟡 Highest volume</t>
  </si>
  <si>
    <t xml:space="preserve">Moderate</t>
  </si>
  <si>
    <t xml:space="preserve">Heavy (&gt;20%)</t>
  </si>
  <si>
    <t xml:space="preserve">🔴 Margin killer</t>
  </si>
  <si>
    <t xml:space="preserve">Heavy</t>
  </si>
  <si>
    <t xml:space="preserve">👥 Customer Segment Overview</t>
  </si>
  <si>
    <t xml:space="preserve">Segment</t>
  </si>
  <si>
    <t xml:space="preserve">Disc Rate %</t>
  </si>
  <si>
    <t xml:space="preserve">Shipping %</t>
  </si>
  <si>
    <t xml:space="preserve">Returns</t>
  </si>
  <si>
    <t xml:space="preserve">Return %</t>
  </si>
  <si>
    <t xml:space="preserve">Behaviour</t>
  </si>
  <si>
    <t xml:space="preserve">Most revenue; moderate subsidy — most efficient</t>
  </si>
  <si>
    <t xml:space="preserve">Premium</t>
  </si>
  <si>
    <t xml:space="preserve">Over-subsidised; 20%+ discount erodes margin</t>
  </si>
  <si>
    <t xml:space="preserve">VIP</t>
  </si>
  <si>
    <t xml:space="preserve">Low volume; high subsidy; lowest return rate</t>
  </si>
  <si>
    <t xml:space="preserve">Business</t>
  </si>
  <si>
    <t xml:space="preserve">Moderate discount; highest return rate (7.06%)</t>
  </si>
  <si>
    <t xml:space="preserve">📦 Product Performance — Top Products, Brands &amp; Categories</t>
  </si>
  <si>
    <t xml:space="preserve">🏆 Key Product Findings</t>
  </si>
  <si>
    <t xml:space="preserve">📂 Category Revenue Distribution (Relative Index)</t>
  </si>
  <si>
    <t xml:space="preserve">Rank</t>
  </si>
  <si>
    <t xml:space="preserve">Product ID</t>
  </si>
  <si>
    <t xml:space="preserve">Product Name</t>
  </si>
  <si>
    <t xml:space="preserve">Category</t>
  </si>
  <si>
    <t xml:space="preserve">Brand</t>
  </si>
  <si>
    <t xml:space="preserve">Metric</t>
  </si>
  <si>
    <t xml:space="preserve">Finding</t>
  </si>
  <si>
    <t xml:space="preserve">Rev Index</t>
  </si>
  <si>
    <t xml:space="preserve">PROD-000839</t>
  </si>
  <si>
    <t xml:space="preserve">Arm &amp; Hammer Organized Maximized Software</t>
  </si>
  <si>
    <t xml:space="preserve">Grooming</t>
  </si>
  <si>
    <t xml:space="preserve">Arm &amp; Hammer</t>
  </si>
  <si>
    <t xml:space="preserve">Most Sold</t>
  </si>
  <si>
    <t xml:space="preserve">🏆 Highest unit sales volume</t>
  </si>
  <si>
    <t xml:space="preserve">Electronics</t>
  </si>
  <si>
    <t xml:space="preserve">PROD-0000012</t>
  </si>
  <si>
    <t xml:space="preserve">Top Profit Generator (per analysis)</t>
  </si>
  <si>
    <t xml:space="preserve">Multiple</t>
  </si>
  <si>
    <t xml:space="preserve">Highest Profit</t>
  </si>
  <si>
    <t xml:space="preserve">💰 #1 net profit product</t>
  </si>
  <si>
    <t xml:space="preserve">PROD-000024</t>
  </si>
  <si>
    <t xml:space="preserve">Asus Re-engineered Content-Based Strategy</t>
  </si>
  <si>
    <t xml:space="preserve">Electronics/Tablets</t>
  </si>
  <si>
    <t xml:space="preserve">Asus</t>
  </si>
  <si>
    <t xml:space="preserve">Top Revenue</t>
  </si>
  <si>
    <t xml:space="preserve">📱 Category revenue leader</t>
  </si>
  <si>
    <t xml:space="preserve">Sports</t>
  </si>
  <si>
    <t xml:space="preserve">—</t>
  </si>
  <si>
    <t xml:space="preserve">Puma Collection</t>
  </si>
  <si>
    <t xml:space="preserve">Sports/Apparel</t>
  </si>
  <si>
    <t xml:space="preserve">Puma</t>
  </si>
  <si>
    <t xml:space="preserve">Best Brand</t>
  </si>
  <si>
    <t xml:space="preserve">🥇 Brand leader by sales</t>
  </si>
  <si>
    <t xml:space="preserve">Home &amp; Kitchen</t>
  </si>
  <si>
    <t xml:space="preserve">Williams-Sonoma Range</t>
  </si>
  <si>
    <t xml:space="preserve">Williams-Sonoma</t>
  </si>
  <si>
    <t xml:space="preserve">2nd Best Brand</t>
  </si>
  <si>
    <t xml:space="preserve">🥈 High-value avg order</t>
  </si>
  <si>
    <t xml:space="preserve">Other</t>
  </si>
  <si>
    <t xml:space="preserve">📋 Category Details</t>
  </si>
  <si>
    <t xml:space="preserve">Sub-Category</t>
  </si>
  <si>
    <t xml:space="preserve">Brand Leader</t>
  </si>
  <si>
    <t xml:space="preserve">Est Rev Rank</t>
  </si>
  <si>
    <t xml:space="preserve">Margin Range</t>
  </si>
  <si>
    <t xml:space="preserve">Insight</t>
  </si>
  <si>
    <t xml:space="preserve">Tablets</t>
  </si>
  <si>
    <t xml:space="preserve">#1</t>
  </si>
  <si>
    <t xml:space="preserve">43-49%</t>
  </si>
  <si>
    <t xml:space="preserve">PROD-000024 leads; Asus dominates tablet revenue</t>
  </si>
  <si>
    <t xml:space="preserve">Personal Care</t>
  </si>
  <si>
    <t xml:space="preserve">#2</t>
  </si>
  <si>
    <t xml:space="preserve">44-48%</t>
  </si>
  <si>
    <t xml:space="preserve">Most-sold product (PROD-000839); broad base</t>
  </si>
  <si>
    <t xml:space="preserve">Apparel</t>
  </si>
  <si>
    <t xml:space="preserve">#3</t>
  </si>
  <si>
    <t xml:space="preserve">44-47%</t>
  </si>
  <si>
    <t xml:space="preserve">Best brand overall; strong repeat purchases</t>
  </si>
  <si>
    <t xml:space="preserve">Cookware</t>
  </si>
  <si>
    <t xml:space="preserve">#4</t>
  </si>
  <si>
    <t xml:space="preserve">43-46%</t>
  </si>
  <si>
    <t xml:space="preserve">Premium price point; 2nd best brand</t>
  </si>
  <si>
    <t xml:space="preserve">Various</t>
  </si>
  <si>
    <t xml:space="preserve">#5</t>
  </si>
  <si>
    <t xml:space="preserve">40-48%</t>
  </si>
  <si>
    <t xml:space="preserve">Long tail; diverse SKU contribution</t>
  </si>
  <si>
    <t xml:space="preserve">💰 Revenue, Profit &amp; Discount Impact Analysis</t>
  </si>
  <si>
    <t xml:space="preserve">💸 Discount Tier Deep Dive</t>
  </si>
  <si>
    <t xml:space="preserve">Gross Rev ($)</t>
  </si>
  <si>
    <t xml:space="preserve">Net Rev ($)</t>
  </si>
  <si>
    <t xml:space="preserve">Profit ($)</t>
  </si>
  <si>
    <t xml:space="preserve">Rev Lost to Disc ($)</t>
  </si>
  <si>
    <t xml:space="preserve">No Discount</t>
  </si>
  <si>
    <t xml:space="preserve">🟢 Best margin</t>
  </si>
  <si>
    <t xml:space="preserve">Light 1-10%</t>
  </si>
  <si>
    <t xml:space="preserve">🟡 Profitable</t>
  </si>
  <si>
    <t xml:space="preserve">Moderate 11-20%</t>
  </si>
  <si>
    <t xml:space="preserve">🟡 High volume</t>
  </si>
  <si>
    <t xml:space="preserve">Heavy &gt;20%</t>
  </si>
  <si>
    <t xml:space="preserve">🛒 Customer Analysis — Value, Segments &amp; Loyalty Behaviour</t>
  </si>
  <si>
    <t xml:space="preserve">🏆 Top 10 Customers by Profit</t>
  </si>
  <si>
    <t xml:space="preserve">Customer ID</t>
  </si>
  <si>
    <t xml:space="preserve">Name</t>
  </si>
  <si>
    <t xml:space="preserve">Type</t>
  </si>
  <si>
    <t xml:space="preserve">Net Sales ($)</t>
  </si>
  <si>
    <t xml:space="preserve">LTV ($)</t>
  </si>
  <si>
    <t xml:space="preserve">Customer</t>
  </si>
  <si>
    <t xml:space="preserve">CUST-012608</t>
  </si>
  <si>
    <t xml:space="preserve">James Long</t>
  </si>
  <si>
    <t xml:space="preserve">Loyal</t>
  </si>
  <si>
    <t xml:space="preserve">Long</t>
  </si>
  <si>
    <t xml:space="preserve">CUST-000802</t>
  </si>
  <si>
    <t xml:space="preserve">Rodney Avila</t>
  </si>
  <si>
    <t xml:space="preserve">Avila</t>
  </si>
  <si>
    <t xml:space="preserve">CUST-017523</t>
  </si>
  <si>
    <t xml:space="preserve">Ryan Stewart</t>
  </si>
  <si>
    <t xml:space="preserve">Stewart</t>
  </si>
  <si>
    <t xml:space="preserve">CUST-017828</t>
  </si>
  <si>
    <t xml:space="preserve">Joyce Cooper</t>
  </si>
  <si>
    <t xml:space="preserve">Cooper</t>
  </si>
  <si>
    <t xml:space="preserve">CUST-013026</t>
  </si>
  <si>
    <t xml:space="preserve">Steven Caldwell</t>
  </si>
  <si>
    <t xml:space="preserve">Caldwell</t>
  </si>
  <si>
    <t xml:space="preserve">CUST-002381</t>
  </si>
  <si>
    <t xml:space="preserve">Shawn Murphy</t>
  </si>
  <si>
    <t xml:space="preserve">Murphy</t>
  </si>
  <si>
    <t xml:space="preserve">CUST-007893</t>
  </si>
  <si>
    <t xml:space="preserve">Zachary Soto</t>
  </si>
  <si>
    <t xml:space="preserve">Soto</t>
  </si>
  <si>
    <t xml:space="preserve">CUST-015177</t>
  </si>
  <si>
    <t xml:space="preserve">Jason Rodriguez</t>
  </si>
  <si>
    <t xml:space="preserve">Rodriguez</t>
  </si>
  <si>
    <t xml:space="preserve">CUST-011800</t>
  </si>
  <si>
    <t xml:space="preserve">Jorge Barry</t>
  </si>
  <si>
    <t xml:space="preserve">Barry</t>
  </si>
  <si>
    <t xml:space="preserve">CUST-012869</t>
  </si>
  <si>
    <t xml:space="preserve">Dylan Clark</t>
  </si>
  <si>
    <t xml:space="preserve">Clark</t>
  </si>
  <si>
    <t xml:space="preserve">📊 Segment Behaviour &amp; Loyalty Analysis</t>
  </si>
  <si>
    <t xml:space="preserve">Key Insight</t>
  </si>
  <si>
    <t xml:space="preserve">Largest base; moderate discounts; most profitable overall</t>
  </si>
  <si>
    <t xml:space="preserve">Over-subsidised at 20.23%; same return rate as Consumers</t>
  </si>
  <si>
    <t xml:space="preserve">Lowest volume; 20% discount; lowest return rate (6.69%)</t>
  </si>
  <si>
    <t xml:space="preserve">Moderate discount; highest shipping cost; highest returns</t>
  </si>
  <si>
    <t xml:space="preserve">📢 Acquisition Channels &amp; Regional Performance Analysis</t>
  </si>
  <si>
    <t xml:space="preserve">🌍 Top Channel × Region Combinations</t>
  </si>
  <si>
    <t xml:space="preserve">Channel</t>
  </si>
  <si>
    <t xml:space="preserve">Region</t>
  </si>
  <si>
    <t xml:space="preserve">Revenue ($)</t>
  </si>
  <si>
    <t xml:space="preserve">Avg CLV ($)</t>
  </si>
  <si>
    <t xml:space="preserve">Rev ($M)</t>
  </si>
  <si>
    <t xml:space="preserve">Organic Search</t>
  </si>
  <si>
    <t xml:space="preserve">Google Ads</t>
  </si>
  <si>
    <t xml:space="preserve">Direct</t>
  </si>
  <si>
    <t xml:space="preserve">Central</t>
  </si>
  <si>
    <t xml:space="preserve">Facebook Ads</t>
  </si>
  <si>
    <t xml:space="preserve">West</t>
  </si>
  <si>
    <t xml:space="preserve">Instagram</t>
  </si>
  <si>
    <t xml:space="preserve">Email Mktg</t>
  </si>
  <si>
    <t xml:space="preserve">Referral</t>
  </si>
  <si>
    <t xml:space="preserve">Affiliate</t>
  </si>
  <si>
    <t xml:space="preserve">East</t>
  </si>
  <si>
    <t xml:space="preserve">TikTok</t>
  </si>
  <si>
    <t xml:space="preserve">YouTube</t>
  </si>
  <si>
    <t xml:space="preserve">North</t>
  </si>
  <si>
    <t xml:space="preserve">🗺️ Regional Performance Summary</t>
  </si>
  <si>
    <t xml:space="preserve">Total Rev ($M)</t>
  </si>
  <si>
    <t xml:space="preserve">CLV ($)</t>
  </si>
  <si>
    <t xml:space="preserve">Largest region; highest revenue but average margin</t>
  </si>
  <si>
    <t xml:space="preserve">Second-largest; stable performer</t>
  </si>
  <si>
    <t xml:space="preserve">Above-avg margin; strong CLV</t>
  </si>
  <si>
    <t xml:space="preserve">Lowest margin; needs optimisation</t>
  </si>
  <si>
    <t xml:space="preserve">⭐ Smallest but HIGHEST margin — underinvested</t>
  </si>
  <si>
    <t xml:space="preserve">Rev($M)</t>
  </si>
  <si>
    <t xml:space="preserve">Margin%</t>
  </si>
  <si>
    <t xml:space="preserve">💸 Discount Sensitivity &amp; Cross-Segment Profitability Analysis</t>
  </si>
  <si>
    <t xml:space="preserve">🎯 Discount Behaviour by Customer Segment</t>
  </si>
  <si>
    <t xml:space="preserve">Disc ($M)</t>
  </si>
  <si>
    <t xml:space="preserve">Net Impact</t>
  </si>
  <si>
    <t xml:space="preserve">🟢 Most efficient — moderate discounts, most revenue</t>
  </si>
  <si>
    <t xml:space="preserve">🔴 Over-subsidised; 20% disc erodes margin</t>
  </si>
  <si>
    <t xml:space="preserve">🔴 20% discount on smallest volume segment</t>
  </si>
  <si>
    <t xml:space="preserve">🟡 Manageable; monitor return rate</t>
  </si>
  <si>
    <t xml:space="preserve">💡 Strategic Insight — Discount Policy</t>
  </si>
  <si>
    <t xml:space="preserve">  💡 Premium &amp; VIP customers are redeeming deep discounts (20%+) yet generating the same return rate as regular Consumers.</t>
  </si>
  <si>
    <t xml:space="preserve">  ▸ Consumer segment at 15.55% discount rate drives more total revenue than Premium and VIP combined.</t>
  </si>
  <si>
    <t xml:space="preserve">  ▸ Heavy discount tier (&gt;20%) destroys 21.5 percentage points of margin — $15.8M lost to discounts per period.</t>
  </si>
  <si>
    <t xml:space="preserve">  ▸ Recommendation: Cap Premium/VIP discounts at 15%; redirect savings to Consumer acquisition &amp; retention.</t>
  </si>
  <si>
    <t xml:space="preserve">  ▸ No-discount orders yield 54.11% margin vs 32.58% at heavy discount — a 1.66× margin multiplier.</t>
  </si>
  <si>
    <t xml:space="preserve">Disc%</t>
  </si>
  <si>
    <t xml:space="preserve">↩️ Returns Analysis — Reasons, Delivery Performance &amp; Ratings</t>
  </si>
  <si>
    <t xml:space="preserve">📋 Return Reason Breakdown</t>
  </si>
  <si>
    <t xml:space="preserve">🚚 Delivery Performance vs Customer Rating &amp; Returns</t>
  </si>
  <si>
    <t xml:space="preserve">Return Reason</t>
  </si>
  <si>
    <t xml:space="preserve">Total Returns</t>
  </si>
  <si>
    <t xml:space="preserve">Share %</t>
  </si>
  <si>
    <t xml:space="preserve">Action Required</t>
  </si>
  <si>
    <t xml:space="preserve">Reason</t>
  </si>
  <si>
    <t xml:space="preserve">Delivery</t>
  </si>
  <si>
    <t xml:space="preserve">Avg Rating</t>
  </si>
  <si>
    <t xml:space="preserve">Return Rate %</t>
  </si>
  <si>
    <t xml:space="preserve">Impact</t>
  </si>
  <si>
    <t xml:space="preserve">Wrong Product</t>
  </si>
  <si>
    <t xml:space="preserve">Improve pick &amp; pack accuracy; barcode verification at dispatch</t>
  </si>
  <si>
    <t xml:space="preserve">On Time</t>
  </si>
  <si>
    <t xml:space="preserve">🟢 Zero returns — delivery time is primary satisfaction driver</t>
  </si>
  <si>
    <t xml:space="preserve">Create classification system to capture undefined return reasons</t>
  </si>
  <si>
    <t xml:space="preserve">Late</t>
  </si>
  <si>
    <t xml:space="preserve">🔴 22.83% return rate; 0.54-point rating drop — critical risk</t>
  </si>
  <si>
    <t xml:space="preserve">Changed Mind</t>
  </si>
  <si>
    <t xml:space="preserve">Display return policy clearly; add cooling-off period warning</t>
  </si>
  <si>
    <t xml:space="preserve">Size Issue</t>
  </si>
  <si>
    <t xml:space="preserve">Detailed size guides; AI virtual try-on integration</t>
  </si>
  <si>
    <t xml:space="preserve">Status</t>
  </si>
  <si>
    <t xml:space="preserve">Rating</t>
  </si>
  <si>
    <t xml:space="preserve">Defective Product</t>
  </si>
  <si>
    <t xml:space="preserve">Pre-dispatch QC; supplier quality scorecards</t>
  </si>
  <si>
    <t xml:space="preserve"> On Time</t>
  </si>
  <si>
    <t xml:space="preserve">Late Delivery</t>
  </si>
  <si>
    <t xml:space="preserve">SLA monitoring; faster carrier partnerships</t>
  </si>
  <si>
    <t xml:space="preserve">Not as Expected</t>
  </si>
  <si>
    <t xml:space="preserve">Accurate product descriptions; real customer photos</t>
  </si>
  <si>
    <t xml:space="preserve">Damaged Product</t>
  </si>
  <si>
    <t xml:space="preserve">Improve packaging standards; fragile handling protocol</t>
  </si>
  <si>
    <t xml:space="preserve">📅 Seasonal Patterns — Monthly Revenue &amp; Order Volume (60 Months)</t>
  </si>
  <si>
    <t xml:space="preserve">Month</t>
  </si>
  <si>
    <t xml:space="preserve">Jan 2021</t>
  </si>
  <si>
    <t xml:space="preserve">Feb 2021</t>
  </si>
  <si>
    <t xml:space="preserve">Mar 2021</t>
  </si>
  <si>
    <t xml:space="preserve">📋 Master Filterable Data Tables — AutoFilter Enabled (Add Pivots &amp; Slicers via Insert menu)</t>
  </si>
  <si>
    <t xml:space="preserve">Revenue</t>
  </si>
  <si>
    <t xml:space="preserve">Avg_CLV</t>
  </si>
  <si>
    <t xml:space="preserve">Margin_Pct</t>
  </si>
  <si>
    <t xml:space="preserve">Disc_Given_M</t>
  </si>
  <si>
    <t xml:space="preserve">Disc_Rate%</t>
  </si>
  <si>
    <t xml:space="preserve">Ship_Pct</t>
  </si>
  <si>
    <t xml:space="preserve">Return_Pct</t>
  </si>
  <si>
    <t xml:space="preserve">Disc_Tier</t>
  </si>
  <si>
    <t xml:space="preserve">Gross_Rev</t>
  </si>
  <si>
    <t xml:space="preserve">Net_Rev</t>
  </si>
  <si>
    <t xml:space="preserve">Profit</t>
  </si>
  <si>
    <t xml:space="preserve">Email Marketing</t>
  </si>
  <si>
    <t xml:space="preserve">ℹ️ Dashboard Metadata, Key Findings &amp; Data Source</t>
  </si>
  <si>
    <t xml:space="preserve">Dataset</t>
  </si>
  <si>
    <t xml:space="preserve">Kaggle: datascikhan/e-commerce-sales-and-customer-analytics (Olivedd)</t>
  </si>
  <si>
    <t xml:space="preserve">Analyst</t>
  </si>
  <si>
    <t xml:space="preserve">Ubaid — Data Analytics Portfolio (GitHub: Chemistry + Data Science)</t>
  </si>
  <si>
    <t xml:space="preserve">Prepared For</t>
  </si>
  <si>
    <t xml:space="preserve">Chief Operating Officer (CO) &amp; Chief Financial Officer (CFO)</t>
  </si>
  <si>
    <t xml:space="preserve">Business Qs</t>
  </si>
  <si>
    <t xml:space="preserve">25 business questions answered across products, revenue, customers, channels, returns &amp; seasonality</t>
  </si>
  <si>
    <t xml:space="preserve">Charts</t>
  </si>
  <si>
    <t xml:space="preserve">13 charts — Bar, Column, Line, Pie, Doughnut across 7 analysis sheets</t>
  </si>
  <si>
    <t xml:space="preserve">Filters</t>
  </si>
  <si>
    <t xml:space="preserve">AutoFilter on Data_Tables Col A:F. Go to Insert → Table → Slicer to add visual slicers</t>
  </si>
  <si>
    <t xml:space="preserve">Data Coverage</t>
  </si>
  <si>
    <t xml:space="preserve">60 months; 50 channel×region combos; 4 customer segments; 10 acquisition channels; 5 regions</t>
  </si>
  <si>
    <t xml:space="preserve">⚠️ Finding 1</t>
  </si>
  <si>
    <t xml:space="preserve">Heavy discounts (&gt;20%) cut margin 21.5pp — from 54.11% to 32.58%. Biggest profit risk.</t>
  </si>
  <si>
    <t xml:space="preserve">⚠️ Finding 2</t>
  </si>
  <si>
    <t xml:space="preserve">Late delivery: 22.83% return rate vs 0% on-time. Delivery speed = #1 operational KPI.</t>
  </si>
  <si>
    <t xml:space="preserve">⚠️ Finding 3</t>
  </si>
  <si>
    <t xml:space="preserve">Premium &amp; VIP over-subsidised (20%+ discount) — same return rate as Consumers; policy fix needed.</t>
  </si>
  <si>
    <t xml:space="preserve">💡 Finding 4</t>
  </si>
  <si>
    <t xml:space="preserve">North region: lowest volume but HIGHEST margin (48-49%). Significantly underinvested.</t>
  </si>
  <si>
    <t xml:space="preserve">💡 Finding 5</t>
  </si>
  <si>
    <t xml:space="preserve">Revenue peaks in months 11-12 (Nov/Dec) every year. Plan inventory &amp; logistics in advance.</t>
  </si>
  <si>
    <t xml:space="preserve">💡 Finding 6</t>
  </si>
  <si>
    <t xml:space="preserve">Organic Search drives ~18.5% of total platform revenue. Protect &amp; invest in SEO.</t>
  </si>
  <si>
    <t xml:space="preserve">💡 Finding 7</t>
  </si>
  <si>
    <t xml:space="preserve">All top 10 customers are 'Loyal' type — loyalty programme directly drives highest-value orders.</t>
  </si>
  <si>
    <t xml:space="preserve">Most Sold Product</t>
  </si>
  <si>
    <t xml:space="preserve">PROD-000839 — Arm &amp; Hammer Organized Maximized Software (Grooming)</t>
  </si>
  <si>
    <t xml:space="preserve">Top Customer</t>
  </si>
  <si>
    <t xml:space="preserve">Dylan Clark (CUST-012869) — $30,268 net sales, 15 orders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</si>
</sst>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B0B0C0"/>
      <name val="Arial"/>
      <family val="0"/>
      <charset val="1"/>
    </font>
    <font>
      <b val="true"/>
      <sz val="14"/>
      <color rgb="FF00B4D8"/>
      <name val="Arial"/>
      <family val="0"/>
      <charset val="1"/>
    </font>
    <font>
      <b val="true"/>
      <sz val="14"/>
      <color rgb="FF2ECC71"/>
      <name val="Arial"/>
      <family val="0"/>
      <charset val="1"/>
    </font>
    <font>
      <b val="true"/>
      <sz val="14"/>
      <color rgb="FFF4A261"/>
      <name val="Arial"/>
      <family val="0"/>
      <charset val="1"/>
    </font>
    <font>
      <b val="true"/>
      <sz val="14"/>
      <color rgb="FFE94560"/>
      <name val="Arial"/>
      <family val="0"/>
      <charset val="1"/>
    </font>
    <font>
      <b val="true"/>
      <sz val="14"/>
      <color rgb="FF9B59B6"/>
      <name val="Arial"/>
      <family val="0"/>
      <charset val="1"/>
    </font>
    <font>
      <b val="true"/>
      <sz val="14"/>
      <color rgb="FFF6C90E"/>
      <name val="Arial"/>
      <family val="0"/>
      <charset val="1"/>
    </font>
    <font>
      <b val="true"/>
      <sz val="14"/>
      <color rgb="FF90E0EF"/>
      <name val="Arial"/>
      <family val="0"/>
      <charset val="1"/>
    </font>
    <font>
      <sz val="8"/>
      <color rgb="FF55557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2ECC71"/>
      <name val="Arial"/>
      <family val="0"/>
      <charset val="1"/>
    </font>
    <font>
      <b val="true"/>
      <sz val="9"/>
      <color rgb="FFE9456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6C90E"/>
      <name val="Arial"/>
      <family val="0"/>
      <charset val="1"/>
    </font>
    <font>
      <b val="true"/>
      <sz val="9"/>
      <color rgb="FFF4A261"/>
      <name val="Arial"/>
      <family val="0"/>
      <charset val="1"/>
    </font>
    <font>
      <b val="true"/>
      <sz val="9"/>
      <color rgb="FF00B4D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90E0EF"/>
      <name val="Arial"/>
      <family val="0"/>
      <charset val="1"/>
    </font>
    <font>
      <b val="true"/>
      <sz val="10"/>
      <color rgb="FF00B4D8"/>
      <name val="Arial"/>
      <family val="0"/>
      <charset val="1"/>
    </font>
    <font>
      <sz val="10"/>
      <color rgb="FFB0B0C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E2A45"/>
      </patternFill>
    </fill>
    <fill>
      <patternFill patternType="solid">
        <fgColor rgb="FF0A2347"/>
        <bgColor rgb="FF16213E"/>
      </patternFill>
    </fill>
    <fill>
      <patternFill patternType="solid">
        <fgColor rgb="FF00B4D8"/>
        <bgColor rgb="FF4BACC6"/>
      </patternFill>
    </fill>
    <fill>
      <patternFill patternType="solid">
        <fgColor rgb="FF2ECC71"/>
        <bgColor rgb="FF4BACC6"/>
      </patternFill>
    </fill>
    <fill>
      <patternFill patternType="solid">
        <fgColor rgb="FFF4A261"/>
        <bgColor rgb="FFD09493"/>
      </patternFill>
    </fill>
    <fill>
      <patternFill patternType="solid">
        <fgColor rgb="FFE94560"/>
        <bgColor rgb="FFC0504D"/>
      </patternFill>
    </fill>
    <fill>
      <patternFill patternType="solid">
        <fgColor rgb="FF9B59B6"/>
        <bgColor rgb="FF8064A2"/>
      </patternFill>
    </fill>
    <fill>
      <patternFill patternType="solid">
        <fgColor rgb="FFF6C90E"/>
        <bgColor rgb="FFF4A261"/>
      </patternFill>
    </fill>
    <fill>
      <patternFill patternType="solid">
        <fgColor rgb="FF90E0EF"/>
        <bgColor rgb="FFCCFFFF"/>
      </patternFill>
    </fill>
    <fill>
      <patternFill patternType="solid">
        <fgColor rgb="FF16213E"/>
        <bgColor rgb="FF0A2347"/>
      </patternFill>
    </fill>
    <fill>
      <patternFill patternType="solid">
        <fgColor rgb="FF1E2A45"/>
        <bgColor rgb="FF16213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F3460"/>
          <bgColor rgb="FF000000"/>
        </patternFill>
      </fill>
    </dxf>
    <dxf>
      <fill>
        <patternFill patternType="solid">
          <fgColor rgb="FF16213E"/>
          <bgColor rgb="FF000000"/>
        </patternFill>
      </fill>
    </dxf>
    <dxf>
      <fill>
        <patternFill patternType="solid">
          <fgColor rgb="FF1E2A45"/>
          <bgColor rgb="FF000000"/>
        </patternFill>
      </fill>
    </dxf>
    <dxf>
      <fill>
        <patternFill patternType="solid">
          <fgColor rgb="FFB0B0C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2ECC71"/>
      <rgbColor rgb="FF0000FF"/>
      <rgbColor rgb="FFFFFF00"/>
      <rgbColor rgb="FFFF00FF"/>
      <rgbColor rgb="FF00FFFF"/>
      <rgbColor rgb="FF800000"/>
      <rgbColor rgb="FF008000"/>
      <rgbColor rgb="FF16213E"/>
      <rgbColor rgb="FF8064A2"/>
      <rgbColor rgb="FF800080"/>
      <rgbColor rgb="FF4F81BD"/>
      <rgbColor rgb="FFB0B0C0"/>
      <rgbColor rgb="FF878787"/>
      <rgbColor rgb="FF93A9CE"/>
      <rgbColor rgb="FFAB4744"/>
      <rgbColor rgb="FFF9F9F9"/>
      <rgbColor rgb="FFCCFFFF"/>
      <rgbColor rgb="FF660066"/>
      <rgbColor rgb="FFF4A261"/>
      <rgbColor rgb="FF4672A8"/>
      <rgbColor rgb="FFD9D9D9"/>
      <rgbColor rgb="FF1A1A2E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CCFFFF"/>
      <rgbColor rgb="FFCCFFCC"/>
      <rgbColor rgb="FFFFFF99"/>
      <rgbColor rgb="FF90E0EF"/>
      <rgbColor rgb="FFD09493"/>
      <rgbColor rgb="FF9B59B6"/>
      <rgbColor rgb="FFFFCC99"/>
      <rgbColor rgb="FF4A7EBB"/>
      <rgbColor rgb="FF4BACC6"/>
      <rgbColor rgb="FF9BBB59"/>
      <rgbColor rgb="FFF6C90E"/>
      <rgbColor rgb="FFDC853E"/>
      <rgbColor rgb="FFFF6B35"/>
      <rgbColor rgb="FF725990"/>
      <rgbColor rgb="FF8AA64F"/>
      <rgbColor rgb="FF0F3460"/>
      <rgbColor rgb="FF4299B0"/>
      <rgbColor rgb="FF0A2347"/>
      <rgbColor rgb="FF1E2A45"/>
      <rgbColor rgb="FFE94560"/>
      <rgbColor rgb="FFC0504D"/>
      <rgbColor rgb="FF555577"/>
      <rgbColor rgb="FF3333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Margin % by Discount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Dashboard!J11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Dashboard!$I$12:$I$15</c:f>
              <c:strCache>
                <c:ptCount val="4"/>
                <c:pt idx="0">
                  <c:v>No Disc</c:v>
                </c:pt>
                <c:pt idx="1">
                  <c:v>Light</c:v>
                </c:pt>
                <c:pt idx="2">
                  <c:v>Moderate</c:v>
                </c:pt>
                <c:pt idx="3">
                  <c:v>Heavy</c:v>
                </c:pt>
              </c:strCache>
            </c:strRef>
          </c:cat>
          <c:val>
            <c:numRef>
              <c:f>Dashboard!$J$12:$J$15</c:f>
              <c:numCache>
                <c:formatCode>General</c:formatCode>
                <c:ptCount val="4"/>
                <c:pt idx="0">
                  <c:v>54.11</c:v>
                </c:pt>
                <c:pt idx="1">
                  <c:v>51.05</c:v>
                </c:pt>
                <c:pt idx="2">
                  <c:v>46.66</c:v>
                </c:pt>
                <c:pt idx="3">
                  <c:v>32.58</c:v>
                </c:pt>
              </c:numCache>
            </c:numRef>
          </c:val>
        </c:ser>
        <c:gapWidth val="150"/>
        <c:overlap val="0"/>
        <c:axId val="38968740"/>
        <c:axId val="10892927"/>
      </c:barChart>
      <c:catAx>
        <c:axId val="389687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92927"/>
        <c:crosses val="autoZero"/>
        <c:auto val="1"/>
        <c:lblAlgn val="ctr"/>
        <c:lblOffset val="100"/>
        <c:noMultiLvlLbl val="0"/>
      </c:catAx>
      <c:valAx>
        <c:axId val="108929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687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Dashboard!$I$20:$I$23</c:f>
              <c:strCache>
                <c:ptCount val="4"/>
                <c:pt idx="0">
                  <c:v>Consumer</c:v>
                </c:pt>
                <c:pt idx="1">
                  <c:v>Premium</c:v>
                </c:pt>
                <c:pt idx="2">
                  <c:v>VIP</c:v>
                </c:pt>
                <c:pt idx="3">
                  <c:v>Business</c:v>
                </c:pt>
              </c:strCache>
            </c:strRef>
          </c:cat>
          <c:val>
            <c:numRef>
              <c:f>Dashboard!$J$19:$J$23</c:f>
              <c:numCache>
                <c:formatCode>General</c:formatCode>
                <c:ptCount val="5"/>
                <c:pt idx="1">
                  <c:v>75636</c:v>
                </c:pt>
                <c:pt idx="2">
                  <c:v>34746</c:v>
                </c:pt>
                <c:pt idx="3">
                  <c:v>13957</c:v>
                </c:pt>
                <c:pt idx="4">
                  <c:v>13777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Category Revenue Share Index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Products!J5</c:f>
              <c:strCache>
                <c:ptCount val="1"/>
                <c:pt idx="0">
                  <c:v>Rev Index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Products!$I$6:$I$10</c:f>
              <c:strCache>
                <c:ptCount val="5"/>
                <c:pt idx="0">
                  <c:v>Electronics</c:v>
                </c:pt>
                <c:pt idx="1">
                  <c:v>Grooming</c:v>
                </c:pt>
                <c:pt idx="2">
                  <c:v>Sports</c:v>
                </c:pt>
                <c:pt idx="3">
                  <c:v>Home &amp; Kitchen</c:v>
                </c:pt>
                <c:pt idx="4">
                  <c:v>Other</c:v>
                </c:pt>
              </c:strCache>
            </c:strRef>
          </c:cat>
          <c:val>
            <c:numRef>
              <c:f>Products!$J$6:$J$10</c:f>
              <c:numCache>
                <c:formatCode>General</c:formatCode>
                <c:ptCount val="5"/>
                <c:pt idx="0">
                  <c:v>35</c:v>
                </c:pt>
                <c:pt idx="1">
                  <c:v>22</c:v>
                </c:pt>
                <c:pt idx="2">
                  <c:v>18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</c:ser>
        <c:gapWidth val="150"/>
        <c:overlap val="0"/>
        <c:axId val="83326617"/>
        <c:axId val="53540466"/>
      </c:barChart>
      <c:catAx>
        <c:axId val="833266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40466"/>
        <c:crosses val="autoZero"/>
        <c:auto val="1"/>
        <c:lblAlgn val="ctr"/>
        <c:lblOffset val="100"/>
        <c:noMultiLvlLbl val="0"/>
      </c:catAx>
      <c:valAx>
        <c:axId val="535404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266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vs Profit by Discount Level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Revenue_Profit!L5</c:f>
              <c:strCache>
                <c:ptCount val="1"/>
                <c:pt idx="0">
                  <c:v>Net Rev ($M)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Revenue_Profit!$K$6:$K$9</c:f>
              <c:strCache>
                <c:ptCount val="4"/>
                <c:pt idx="0">
                  <c:v>No Disc</c:v>
                </c:pt>
                <c:pt idx="1">
                  <c:v>Light</c:v>
                </c:pt>
                <c:pt idx="2">
                  <c:v>Moderate</c:v>
                </c:pt>
                <c:pt idx="3">
                  <c:v>Heavy</c:v>
                </c:pt>
              </c:strCache>
            </c:strRef>
          </c:cat>
          <c:val>
            <c:numRef>
              <c:f>Revenue_Profit!$L$6:$L$9</c:f>
              <c:numCache>
                <c:formatCode>General</c:formatCode>
                <c:ptCount val="4"/>
                <c:pt idx="0">
                  <c:v>24.53</c:v>
                </c:pt>
                <c:pt idx="1">
                  <c:v>44.37</c:v>
                </c:pt>
                <c:pt idx="2">
                  <c:v>59.61</c:v>
                </c:pt>
                <c:pt idx="3">
                  <c:v>48.62</c:v>
                </c:pt>
              </c:numCache>
            </c:numRef>
          </c:val>
        </c:ser>
        <c:ser>
          <c:idx val="1"/>
          <c:order val="1"/>
          <c:tx>
            <c:strRef>
              <c:f>Revenue_Profit!M5</c:f>
              <c:strCache>
                <c:ptCount val="1"/>
                <c:pt idx="0">
                  <c:v>Profit ($M)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Revenue_Profit!$K$6:$K$9</c:f>
              <c:strCache>
                <c:ptCount val="4"/>
                <c:pt idx="0">
                  <c:v>No Disc</c:v>
                </c:pt>
                <c:pt idx="1">
                  <c:v>Light</c:v>
                </c:pt>
                <c:pt idx="2">
                  <c:v>Moderate</c:v>
                </c:pt>
                <c:pt idx="3">
                  <c:v>Heavy</c:v>
                </c:pt>
              </c:strCache>
            </c:strRef>
          </c:cat>
          <c:val>
            <c:numRef>
              <c:f>Revenue_Profit!$M$6:$M$9</c:f>
              <c:numCache>
                <c:formatCode>General</c:formatCode>
                <c:ptCount val="4"/>
                <c:pt idx="0">
                  <c:v>12.9</c:v>
                </c:pt>
                <c:pt idx="1">
                  <c:v>21.85</c:v>
                </c:pt>
                <c:pt idx="2">
                  <c:v>26.74</c:v>
                </c:pt>
                <c:pt idx="3">
                  <c:v>14.66</c:v>
                </c:pt>
              </c:numCache>
            </c:numRef>
          </c:val>
        </c:ser>
        <c:gapWidth val="150"/>
        <c:overlap val="0"/>
        <c:axId val="70145931"/>
        <c:axId val="8734899"/>
      </c:barChart>
      <c:catAx>
        <c:axId val="701459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4899"/>
        <c:crosses val="autoZero"/>
        <c:auto val="1"/>
        <c:lblAlgn val="ctr"/>
        <c:lblOffset val="100"/>
        <c:noMultiLvlLbl val="0"/>
      </c:catAx>
      <c:valAx>
        <c:axId val="87348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459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% Falls as Discounts Rise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Revenue_Profit!L14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Revenue_Profit!$K$15:$K$18</c:f>
              <c:strCache>
                <c:ptCount val="4"/>
                <c:pt idx="0">
                  <c:v>No Disc</c:v>
                </c:pt>
                <c:pt idx="1">
                  <c:v>Light</c:v>
                </c:pt>
                <c:pt idx="2">
                  <c:v>Moderate</c:v>
                </c:pt>
                <c:pt idx="3">
                  <c:v>Heavy</c:v>
                </c:pt>
              </c:strCache>
            </c:strRef>
          </c:cat>
          <c:val>
            <c:numRef>
              <c:f>Revenue_Profit!$L$15:$L$18</c:f>
              <c:numCache>
                <c:formatCode>General</c:formatCode>
                <c:ptCount val="4"/>
                <c:pt idx="0">
                  <c:v>54.11</c:v>
                </c:pt>
                <c:pt idx="1">
                  <c:v>51.05</c:v>
                </c:pt>
                <c:pt idx="2">
                  <c:v>46.66</c:v>
                </c:pt>
                <c:pt idx="3">
                  <c:v>32.58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39039"/>
        <c:axId val="24381024"/>
      </c:lineChart>
      <c:catAx>
        <c:axId val="823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81024"/>
        <c:crosses val="autoZero"/>
        <c:auto val="1"/>
        <c:lblAlgn val="ctr"/>
        <c:lblOffset val="100"/>
        <c:noMultiLvlLbl val="0"/>
      </c:catAx>
      <c:valAx>
        <c:axId val="243810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90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Customers by Profit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Customers!L5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Customers!$K$6:$K$15</c:f>
              <c:strCache>
                <c:ptCount val="10"/>
                <c:pt idx="0">
                  <c:v>Long</c:v>
                </c:pt>
                <c:pt idx="1">
                  <c:v>Avila</c:v>
                </c:pt>
                <c:pt idx="2">
                  <c:v>Stewart</c:v>
                </c:pt>
                <c:pt idx="3">
                  <c:v>Cooper</c:v>
                </c:pt>
                <c:pt idx="4">
                  <c:v>Caldwell</c:v>
                </c:pt>
                <c:pt idx="5">
                  <c:v>Murphy</c:v>
                </c:pt>
                <c:pt idx="6">
                  <c:v>Soto</c:v>
                </c:pt>
                <c:pt idx="7">
                  <c:v>Rodriguez</c:v>
                </c:pt>
                <c:pt idx="8">
                  <c:v>Barry</c:v>
                </c:pt>
                <c:pt idx="9">
                  <c:v>Clark</c:v>
                </c:pt>
              </c:strCache>
            </c:strRef>
          </c:cat>
          <c:val>
            <c:numRef>
              <c:f>Customers!$L$6:$L$15</c:f>
              <c:numCache>
                <c:formatCode>General</c:formatCode>
                <c:ptCount val="10"/>
                <c:pt idx="0">
                  <c:v>13994</c:v>
                </c:pt>
                <c:pt idx="1">
                  <c:v>12782</c:v>
                </c:pt>
                <c:pt idx="2">
                  <c:v>12663</c:v>
                </c:pt>
                <c:pt idx="3">
                  <c:v>12398</c:v>
                </c:pt>
                <c:pt idx="4">
                  <c:v>12101</c:v>
                </c:pt>
                <c:pt idx="5">
                  <c:v>12087</c:v>
                </c:pt>
                <c:pt idx="6">
                  <c:v>12025</c:v>
                </c:pt>
                <c:pt idx="7">
                  <c:v>11933</c:v>
                </c:pt>
                <c:pt idx="8">
                  <c:v>11931</c:v>
                </c:pt>
                <c:pt idx="9">
                  <c:v>11819</c:v>
                </c:pt>
              </c:numCache>
            </c:numRef>
          </c:val>
        </c:ser>
        <c:gapWidth val="150"/>
        <c:overlap val="0"/>
        <c:axId val="48751340"/>
        <c:axId val="81542719"/>
      </c:barChart>
      <c:catAx>
        <c:axId val="487513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542719"/>
        <c:crosses val="autoZero"/>
        <c:auto val="1"/>
        <c:lblAlgn val="ctr"/>
        <c:lblOffset val="100"/>
        <c:noMultiLvlLbl val="0"/>
      </c:catAx>
      <c:valAx>
        <c:axId val="815427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513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Acquisition Channel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Channels_Regions!I5</c:f>
              <c:strCache>
                <c:ptCount val="1"/>
                <c:pt idx="0">
                  <c:v>Rev ($M)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Channels_Regions!$H$6:$H$15</c:f>
              <c:strCache>
                <c:ptCount val="10"/>
                <c:pt idx="0">
                  <c:v>Organic Search</c:v>
                </c:pt>
                <c:pt idx="1">
                  <c:v>Google Ads</c:v>
                </c:pt>
                <c:pt idx="2">
                  <c:v>Direct</c:v>
                </c:pt>
                <c:pt idx="3">
                  <c:v>Facebook Ads</c:v>
                </c:pt>
                <c:pt idx="4">
                  <c:v>Instagram</c:v>
                </c:pt>
                <c:pt idx="5">
                  <c:v>Email Mktg</c:v>
                </c:pt>
                <c:pt idx="6">
                  <c:v>Referral</c:v>
                </c:pt>
                <c:pt idx="7">
                  <c:v>Affiliate</c:v>
                </c:pt>
                <c:pt idx="8">
                  <c:v>TikTok</c:v>
                </c:pt>
                <c:pt idx="9">
                  <c:v>YouTube</c:v>
                </c:pt>
              </c:strCache>
            </c:strRef>
          </c:cat>
          <c:val>
            <c:numRef>
              <c:f>Channels_Regions!$I$6:$I$15</c:f>
              <c:numCache>
                <c:formatCode>General</c:formatCode>
                <c:ptCount val="10"/>
                <c:pt idx="0">
                  <c:v>35.66</c:v>
                </c:pt>
                <c:pt idx="1">
                  <c:v>26.54</c:v>
                </c:pt>
                <c:pt idx="2">
                  <c:v>26.12</c:v>
                </c:pt>
                <c:pt idx="3">
                  <c:v>21.37</c:v>
                </c:pt>
                <c:pt idx="4">
                  <c:v>17.68</c:v>
                </c:pt>
                <c:pt idx="5">
                  <c:v>14.42</c:v>
                </c:pt>
                <c:pt idx="6">
                  <c:v>12.34</c:v>
                </c:pt>
                <c:pt idx="7">
                  <c:v>8.83</c:v>
                </c:pt>
                <c:pt idx="8">
                  <c:v>7.98</c:v>
                </c:pt>
                <c:pt idx="9">
                  <c:v>5.2</c:v>
                </c:pt>
              </c:numCache>
            </c:numRef>
          </c:val>
        </c:ser>
        <c:gapWidth val="150"/>
        <c:overlap val="0"/>
        <c:axId val="11857584"/>
        <c:axId val="46431104"/>
      </c:barChart>
      <c:catAx>
        <c:axId val="1185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31104"/>
        <c:crosses val="autoZero"/>
        <c:auto val="1"/>
        <c:lblAlgn val="ctr"/>
        <c:lblOffset val="100"/>
        <c:noMultiLvlLbl val="0"/>
      </c:catAx>
      <c:valAx>
        <c:axId val="464311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575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Margin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Channels_Regions!I30</c:f>
              <c:strCache>
                <c:ptCount val="1"/>
                <c:pt idx="0">
                  <c:v>Rev($M)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Channels_Regions!$H$31:$H$35</c:f>
              <c:strCache>
                <c:ptCount val="5"/>
                <c:pt idx="0">
                  <c:v>South</c:v>
                </c:pt>
                <c:pt idx="1">
                  <c:v>Central</c:v>
                </c:pt>
                <c:pt idx="2">
                  <c:v>West</c:v>
                </c:pt>
                <c:pt idx="3">
                  <c:v>East</c:v>
                </c:pt>
                <c:pt idx="4">
                  <c:v>North</c:v>
                </c:pt>
              </c:strCache>
            </c:strRef>
          </c:cat>
          <c:val>
            <c:numRef>
              <c:f>Channels_Regions!$I$31:$I$35</c:f>
              <c:numCache>
                <c:formatCode>General</c:formatCode>
                <c:ptCount val="5"/>
                <c:pt idx="0">
                  <c:v>44.07</c:v>
                </c:pt>
                <c:pt idx="1">
                  <c:v>27.97</c:v>
                </c:pt>
                <c:pt idx="2">
                  <c:v>26.79</c:v>
                </c:pt>
                <c:pt idx="3">
                  <c:v>22.04</c:v>
                </c:pt>
                <c:pt idx="4">
                  <c:v>15.1</c:v>
                </c:pt>
              </c:numCache>
            </c:numRef>
          </c:val>
        </c:ser>
        <c:gapWidth val="150"/>
        <c:overlap val="0"/>
        <c:axId val="724883"/>
        <c:axId val="70891886"/>
      </c:barChart>
      <c:catAx>
        <c:axId val="7248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91886"/>
        <c:crosses val="autoZero"/>
        <c:auto val="1"/>
        <c:lblAlgn val="ctr"/>
        <c:lblOffset val="100"/>
        <c:noMultiLvlLbl val="0"/>
      </c:catAx>
      <c:valAx>
        <c:axId val="708918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8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Discount Rate % → Profit Margin % (Inverse Relationship)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Discounts!K18</c:f>
              <c:strCache>
                <c:ptCount val="1"/>
                <c:pt idx="0">
                  <c:v>Margin%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Discounts!$J$19:$J$22</c:f>
              <c:strCache>
                <c:ptCount val="4"/>
                <c:pt idx="0">
                  <c:v>0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</c:strCache>
            </c:strRef>
          </c:cat>
          <c:val>
            <c:numRef>
              <c:f>Discounts!$K$19:$K$22</c:f>
              <c:numCache>
                <c:formatCode>General</c:formatCode>
                <c:ptCount val="4"/>
                <c:pt idx="0">
                  <c:v>54.11</c:v>
                </c:pt>
                <c:pt idx="1">
                  <c:v>51.05</c:v>
                </c:pt>
                <c:pt idx="2">
                  <c:v>46.66</c:v>
                </c:pt>
                <c:pt idx="3">
                  <c:v>32.58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690146"/>
        <c:axId val="30048585"/>
      </c:lineChart>
      <c:catAx>
        <c:axId val="596901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048585"/>
        <c:crosses val="autoZero"/>
        <c:auto val="1"/>
        <c:lblAlgn val="ctr"/>
        <c:lblOffset val="100"/>
        <c:noMultiLvlLbl val="0"/>
      </c:catAx>
      <c:valAx>
        <c:axId val="300485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901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Reason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Returns!G5</c:f>
              <c:strCache>
                <c:ptCount val="1"/>
                <c:pt idx="0">
                  <c:v>Returns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Returns!$F$6:$F$13</c:f>
              <c:strCache>
                <c:ptCount val="8"/>
                <c:pt idx="0">
                  <c:v>Wrong Product</c:v>
                </c:pt>
                <c:pt idx="1">
                  <c:v>Other</c:v>
                </c:pt>
                <c:pt idx="2">
                  <c:v>Changed Mind</c:v>
                </c:pt>
                <c:pt idx="3">
                  <c:v>Size Issue</c:v>
                </c:pt>
                <c:pt idx="4">
                  <c:v>Defective Product</c:v>
                </c:pt>
                <c:pt idx="5">
                  <c:v>Late Delivery</c:v>
                </c:pt>
                <c:pt idx="6">
                  <c:v>Not as Expected</c:v>
                </c:pt>
                <c:pt idx="7">
                  <c:v>Damaged Product</c:v>
                </c:pt>
              </c:strCache>
            </c:strRef>
          </c:cat>
          <c:val>
            <c:numRef>
              <c:f>Returns!$G$6:$G$13</c:f>
              <c:numCache>
                <c:formatCode>General</c:formatCode>
                <c:ptCount val="8"/>
                <c:pt idx="0">
                  <c:v>1237</c:v>
                </c:pt>
                <c:pt idx="1">
                  <c:v>1208</c:v>
                </c:pt>
                <c:pt idx="2">
                  <c:v>1204</c:v>
                </c:pt>
                <c:pt idx="3">
                  <c:v>1182</c:v>
                </c:pt>
                <c:pt idx="4">
                  <c:v>1174</c:v>
                </c:pt>
                <c:pt idx="5">
                  <c:v>1172</c:v>
                </c:pt>
                <c:pt idx="6">
                  <c:v>1147</c:v>
                </c:pt>
                <c:pt idx="7">
                  <c:v>1138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Rating: On-Time vs Late Delivery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Returns!I9</c:f>
              <c:strCache>
                <c:ptCount val="1"/>
                <c:pt idx="0">
                  <c:v>Rating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Returns!$H$10:$H$11</c:f>
              <c:strCache>
                <c:ptCount val="2"/>
                <c:pt idx="0">
                  <c:v> On Time</c:v>
                </c:pt>
                <c:pt idx="1">
                  <c:v>Late</c:v>
                </c:pt>
              </c:strCache>
            </c:strRef>
          </c:cat>
          <c:val>
            <c:numRef>
              <c:f>Returns!$I$10:$I$11</c:f>
              <c:numCache>
                <c:formatCode>General</c:formatCode>
                <c:ptCount val="2"/>
                <c:pt idx="0">
                  <c:v>3.76</c:v>
                </c:pt>
                <c:pt idx="1">
                  <c:v>3.22</c:v>
                </c:pt>
              </c:numCache>
            </c:numRef>
          </c:val>
        </c:ser>
        <c:gapWidth val="150"/>
        <c:overlap val="0"/>
        <c:axId val="49168780"/>
        <c:axId val="39944463"/>
      </c:barChart>
      <c:catAx>
        <c:axId val="491687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44463"/>
        <c:crosses val="autoZero"/>
        <c:auto val="1"/>
        <c:lblAlgn val="ctr"/>
        <c:lblOffset val="100"/>
        <c:noMultiLvlLbl val="0"/>
      </c:catAx>
      <c:valAx>
        <c:axId val="399444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687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📈 Monthly Revenue Trend — 60-Month E-Commerce View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Seasonality!C4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Seasonality!$A$5:$A$64</c:f>
              <c:strCache>
                <c:ptCount val="60"/>
                <c:pt idx="0">
                  <c:v>Jan 2021</c:v>
                </c:pt>
                <c:pt idx="1">
                  <c:v>Jan 2021</c:v>
                </c:pt>
                <c:pt idx="2">
                  <c:v>Jan 2021</c:v>
                </c:pt>
                <c:pt idx="3">
                  <c:v>Jan 2021</c:v>
                </c:pt>
                <c:pt idx="4">
                  <c:v>Jan 2021</c:v>
                </c:pt>
                <c:pt idx="5">
                  <c:v>Jan 2021</c:v>
                </c:pt>
                <c:pt idx="6">
                  <c:v>Jan 2021</c:v>
                </c:pt>
                <c:pt idx="7">
                  <c:v>Jan 2021</c:v>
                </c:pt>
                <c:pt idx="8">
                  <c:v>Jan 2021</c:v>
                </c:pt>
                <c:pt idx="9">
                  <c:v>Jan 2021</c:v>
                </c:pt>
                <c:pt idx="10">
                  <c:v>Jan 2021</c:v>
                </c:pt>
                <c:pt idx="11">
                  <c:v>Jan 2021</c:v>
                </c:pt>
                <c:pt idx="12">
                  <c:v>Jan 2021</c:v>
                </c:pt>
                <c:pt idx="13">
                  <c:v>Jan 2021</c:v>
                </c:pt>
                <c:pt idx="14">
                  <c:v>Jan 2021</c:v>
                </c:pt>
                <c:pt idx="15">
                  <c:v>Jan 2021</c:v>
                </c:pt>
                <c:pt idx="16">
                  <c:v>Jan 2021</c:v>
                </c:pt>
                <c:pt idx="17">
                  <c:v>Jan 2021</c:v>
                </c:pt>
                <c:pt idx="18">
                  <c:v>Jan 2021</c:v>
                </c:pt>
                <c:pt idx="19">
                  <c:v>Jan 2021</c:v>
                </c:pt>
                <c:pt idx="20">
                  <c:v>Jan 2021</c:v>
                </c:pt>
                <c:pt idx="21">
                  <c:v>Jan 2021</c:v>
                </c:pt>
                <c:pt idx="22">
                  <c:v>Jan 2021</c:v>
                </c:pt>
                <c:pt idx="23">
                  <c:v>Jan 2021</c:v>
                </c:pt>
                <c:pt idx="24">
                  <c:v>Jan 2021</c:v>
                </c:pt>
                <c:pt idx="25">
                  <c:v>Jan 2021</c:v>
                </c:pt>
                <c:pt idx="26">
                  <c:v>Jan 2021</c:v>
                </c:pt>
                <c:pt idx="27">
                  <c:v>Jan 2021</c:v>
                </c:pt>
                <c:pt idx="28">
                  <c:v>Jan 2021</c:v>
                </c:pt>
                <c:pt idx="29">
                  <c:v>Jan 2021</c:v>
                </c:pt>
                <c:pt idx="30">
                  <c:v>Jan 2021</c:v>
                </c:pt>
                <c:pt idx="31">
                  <c:v>Feb 2021</c:v>
                </c:pt>
                <c:pt idx="32">
                  <c:v>Feb 2021</c:v>
                </c:pt>
                <c:pt idx="33">
                  <c:v>Feb 2021</c:v>
                </c:pt>
                <c:pt idx="34">
                  <c:v>Feb 2021</c:v>
                </c:pt>
                <c:pt idx="35">
                  <c:v>Feb 2021</c:v>
                </c:pt>
                <c:pt idx="36">
                  <c:v>Feb 2021</c:v>
                </c:pt>
                <c:pt idx="37">
                  <c:v>Feb 2021</c:v>
                </c:pt>
                <c:pt idx="38">
                  <c:v>Feb 2021</c:v>
                </c:pt>
                <c:pt idx="39">
                  <c:v>Feb 2021</c:v>
                </c:pt>
                <c:pt idx="40">
                  <c:v>Feb 2021</c:v>
                </c:pt>
                <c:pt idx="41">
                  <c:v>Feb 2021</c:v>
                </c:pt>
                <c:pt idx="42">
                  <c:v>Feb 2021</c:v>
                </c:pt>
                <c:pt idx="43">
                  <c:v>Feb 2021</c:v>
                </c:pt>
                <c:pt idx="44">
                  <c:v>Feb 2021</c:v>
                </c:pt>
                <c:pt idx="45">
                  <c:v>Feb 2021</c:v>
                </c:pt>
                <c:pt idx="46">
                  <c:v>Feb 2021</c:v>
                </c:pt>
                <c:pt idx="47">
                  <c:v>Feb 2021</c:v>
                </c:pt>
                <c:pt idx="48">
                  <c:v>Feb 2021</c:v>
                </c:pt>
                <c:pt idx="49">
                  <c:v>Feb 2021</c:v>
                </c:pt>
                <c:pt idx="50">
                  <c:v>Feb 2021</c:v>
                </c:pt>
                <c:pt idx="51">
                  <c:v>Feb 2021</c:v>
                </c:pt>
                <c:pt idx="52">
                  <c:v>Feb 2021</c:v>
                </c:pt>
                <c:pt idx="53">
                  <c:v>Feb 2021</c:v>
                </c:pt>
                <c:pt idx="54">
                  <c:v>Feb 2021</c:v>
                </c:pt>
                <c:pt idx="55">
                  <c:v>Feb 2021</c:v>
                </c:pt>
                <c:pt idx="56">
                  <c:v>Feb 2021</c:v>
                </c:pt>
                <c:pt idx="57">
                  <c:v>Feb 2021</c:v>
                </c:pt>
                <c:pt idx="58">
                  <c:v>Feb 2021</c:v>
                </c:pt>
                <c:pt idx="59">
                  <c:v>Mar 2021</c:v>
                </c:pt>
              </c:strCache>
            </c:strRef>
          </c:cat>
          <c:val>
            <c:numRef>
              <c:f>Seasonality!$C$5:$C$64</c:f>
              <c:numCache>
                <c:formatCode>#,##0</c:formatCode>
                <c:ptCount val="60"/>
                <c:pt idx="0">
                  <c:v>2344486</c:v>
                </c:pt>
                <c:pt idx="1">
                  <c:v>1875992</c:v>
                </c:pt>
                <c:pt idx="2">
                  <c:v>2713085</c:v>
                </c:pt>
                <c:pt idx="3">
                  <c:v>2430890</c:v>
                </c:pt>
                <c:pt idx="4">
                  <c:v>2497863</c:v>
                </c:pt>
                <c:pt idx="5">
                  <c:v>2668761</c:v>
                </c:pt>
                <c:pt idx="6">
                  <c:v>3290375</c:v>
                </c:pt>
                <c:pt idx="7">
                  <c:v>3165709</c:v>
                </c:pt>
                <c:pt idx="8">
                  <c:v>2812591</c:v>
                </c:pt>
                <c:pt idx="9">
                  <c:v>2953967</c:v>
                </c:pt>
                <c:pt idx="10">
                  <c:v>5390548</c:v>
                </c:pt>
                <c:pt idx="11">
                  <c:v>6184158</c:v>
                </c:pt>
                <c:pt idx="12">
                  <c:v>2401904</c:v>
                </c:pt>
                <c:pt idx="13">
                  <c:v>1989027</c:v>
                </c:pt>
                <c:pt idx="14">
                  <c:v>2645695</c:v>
                </c:pt>
                <c:pt idx="15">
                  <c:v>2471795</c:v>
                </c:pt>
                <c:pt idx="16">
                  <c:v>2485007</c:v>
                </c:pt>
                <c:pt idx="17">
                  <c:v>2658257</c:v>
                </c:pt>
                <c:pt idx="18">
                  <c:v>3129794</c:v>
                </c:pt>
                <c:pt idx="19">
                  <c:v>2886866</c:v>
                </c:pt>
                <c:pt idx="20">
                  <c:v>2831778</c:v>
                </c:pt>
                <c:pt idx="21">
                  <c:v>2876097</c:v>
                </c:pt>
                <c:pt idx="22">
                  <c:v>5637600</c:v>
                </c:pt>
                <c:pt idx="23">
                  <c:v>5930370</c:v>
                </c:pt>
                <c:pt idx="24">
                  <c:v>2421041</c:v>
                </c:pt>
                <c:pt idx="25">
                  <c:v>2011133</c:v>
                </c:pt>
                <c:pt idx="26">
                  <c:v>2639650</c:v>
                </c:pt>
                <c:pt idx="27">
                  <c:v>2450464</c:v>
                </c:pt>
                <c:pt idx="28">
                  <c:v>2526627</c:v>
                </c:pt>
                <c:pt idx="29">
                  <c:v>2753168</c:v>
                </c:pt>
                <c:pt idx="30">
                  <c:v>3078026</c:v>
                </c:pt>
                <c:pt idx="31">
                  <c:v>3022753</c:v>
                </c:pt>
                <c:pt idx="32">
                  <c:v>2844887</c:v>
                </c:pt>
                <c:pt idx="33">
                  <c:v>2951271</c:v>
                </c:pt>
                <c:pt idx="34">
                  <c:v>5457890</c:v>
                </c:pt>
                <c:pt idx="35">
                  <c:v>5960070</c:v>
                </c:pt>
                <c:pt idx="36">
                  <c:v>2473953</c:v>
                </c:pt>
                <c:pt idx="37">
                  <c:v>2082234</c:v>
                </c:pt>
                <c:pt idx="38">
                  <c:v>2706009</c:v>
                </c:pt>
                <c:pt idx="39">
                  <c:v>2595327</c:v>
                </c:pt>
                <c:pt idx="40">
                  <c:v>2528304</c:v>
                </c:pt>
                <c:pt idx="41">
                  <c:v>2584843</c:v>
                </c:pt>
                <c:pt idx="42">
                  <c:v>3229056</c:v>
                </c:pt>
                <c:pt idx="43">
                  <c:v>2809220</c:v>
                </c:pt>
                <c:pt idx="44">
                  <c:v>2856584</c:v>
                </c:pt>
                <c:pt idx="45">
                  <c:v>2831361</c:v>
                </c:pt>
                <c:pt idx="46">
                  <c:v>5521108</c:v>
                </c:pt>
                <c:pt idx="47">
                  <c:v>5769556</c:v>
                </c:pt>
                <c:pt idx="48">
                  <c:v>2407803</c:v>
                </c:pt>
                <c:pt idx="49">
                  <c:v>1981357</c:v>
                </c:pt>
                <c:pt idx="50">
                  <c:v>2737525</c:v>
                </c:pt>
                <c:pt idx="51">
                  <c:v>2479887</c:v>
                </c:pt>
                <c:pt idx="52">
                  <c:v>2373703</c:v>
                </c:pt>
                <c:pt idx="53">
                  <c:v>2574224</c:v>
                </c:pt>
                <c:pt idx="54">
                  <c:v>3226511</c:v>
                </c:pt>
                <c:pt idx="55">
                  <c:v>2915602</c:v>
                </c:pt>
                <c:pt idx="56">
                  <c:v>2940500</c:v>
                </c:pt>
                <c:pt idx="57">
                  <c:v>2744499</c:v>
                </c:pt>
                <c:pt idx="58">
                  <c:v>5468300</c:v>
                </c:pt>
                <c:pt idx="59">
                  <c:v>5735497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439212"/>
        <c:axId val="20343676"/>
      </c:lineChart>
      <c:catAx>
        <c:axId val="844392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43676"/>
        <c:crosses val="autoZero"/>
        <c:auto val="1"/>
        <c:lblAlgn val="ctr"/>
        <c:lblOffset val="100"/>
        <c:noMultiLvlLbl val="0"/>
      </c:catAx>
      <c:valAx>
        <c:axId val="203436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392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📦 Monthly Order Volume — Holiday Peaks Visible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Seasonality!B4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Seasonality!$A$5:$A$64</c:f>
              <c:strCache>
                <c:ptCount val="60"/>
                <c:pt idx="0">
                  <c:v>Jan 2021</c:v>
                </c:pt>
                <c:pt idx="1">
                  <c:v>Jan 2021</c:v>
                </c:pt>
                <c:pt idx="2">
                  <c:v>Jan 2021</c:v>
                </c:pt>
                <c:pt idx="3">
                  <c:v>Jan 2021</c:v>
                </c:pt>
                <c:pt idx="4">
                  <c:v>Jan 2021</c:v>
                </c:pt>
                <c:pt idx="5">
                  <c:v>Jan 2021</c:v>
                </c:pt>
                <c:pt idx="6">
                  <c:v>Jan 2021</c:v>
                </c:pt>
                <c:pt idx="7">
                  <c:v>Jan 2021</c:v>
                </c:pt>
                <c:pt idx="8">
                  <c:v>Jan 2021</c:v>
                </c:pt>
                <c:pt idx="9">
                  <c:v>Jan 2021</c:v>
                </c:pt>
                <c:pt idx="10">
                  <c:v>Jan 2021</c:v>
                </c:pt>
                <c:pt idx="11">
                  <c:v>Jan 2021</c:v>
                </c:pt>
                <c:pt idx="12">
                  <c:v>Jan 2021</c:v>
                </c:pt>
                <c:pt idx="13">
                  <c:v>Jan 2021</c:v>
                </c:pt>
                <c:pt idx="14">
                  <c:v>Jan 2021</c:v>
                </c:pt>
                <c:pt idx="15">
                  <c:v>Jan 2021</c:v>
                </c:pt>
                <c:pt idx="16">
                  <c:v>Jan 2021</c:v>
                </c:pt>
                <c:pt idx="17">
                  <c:v>Jan 2021</c:v>
                </c:pt>
                <c:pt idx="18">
                  <c:v>Jan 2021</c:v>
                </c:pt>
                <c:pt idx="19">
                  <c:v>Jan 2021</c:v>
                </c:pt>
                <c:pt idx="20">
                  <c:v>Jan 2021</c:v>
                </c:pt>
                <c:pt idx="21">
                  <c:v>Jan 2021</c:v>
                </c:pt>
                <c:pt idx="22">
                  <c:v>Jan 2021</c:v>
                </c:pt>
                <c:pt idx="23">
                  <c:v>Jan 2021</c:v>
                </c:pt>
                <c:pt idx="24">
                  <c:v>Jan 2021</c:v>
                </c:pt>
                <c:pt idx="25">
                  <c:v>Jan 2021</c:v>
                </c:pt>
                <c:pt idx="26">
                  <c:v>Jan 2021</c:v>
                </c:pt>
                <c:pt idx="27">
                  <c:v>Jan 2021</c:v>
                </c:pt>
                <c:pt idx="28">
                  <c:v>Jan 2021</c:v>
                </c:pt>
                <c:pt idx="29">
                  <c:v>Jan 2021</c:v>
                </c:pt>
                <c:pt idx="30">
                  <c:v>Jan 2021</c:v>
                </c:pt>
                <c:pt idx="31">
                  <c:v>Feb 2021</c:v>
                </c:pt>
                <c:pt idx="32">
                  <c:v>Feb 2021</c:v>
                </c:pt>
                <c:pt idx="33">
                  <c:v>Feb 2021</c:v>
                </c:pt>
                <c:pt idx="34">
                  <c:v>Feb 2021</c:v>
                </c:pt>
                <c:pt idx="35">
                  <c:v>Feb 2021</c:v>
                </c:pt>
                <c:pt idx="36">
                  <c:v>Feb 2021</c:v>
                </c:pt>
                <c:pt idx="37">
                  <c:v>Feb 2021</c:v>
                </c:pt>
                <c:pt idx="38">
                  <c:v>Feb 2021</c:v>
                </c:pt>
                <c:pt idx="39">
                  <c:v>Feb 2021</c:v>
                </c:pt>
                <c:pt idx="40">
                  <c:v>Feb 2021</c:v>
                </c:pt>
                <c:pt idx="41">
                  <c:v>Feb 2021</c:v>
                </c:pt>
                <c:pt idx="42">
                  <c:v>Feb 2021</c:v>
                </c:pt>
                <c:pt idx="43">
                  <c:v>Feb 2021</c:v>
                </c:pt>
                <c:pt idx="44">
                  <c:v>Feb 2021</c:v>
                </c:pt>
                <c:pt idx="45">
                  <c:v>Feb 2021</c:v>
                </c:pt>
                <c:pt idx="46">
                  <c:v>Feb 2021</c:v>
                </c:pt>
                <c:pt idx="47">
                  <c:v>Feb 2021</c:v>
                </c:pt>
                <c:pt idx="48">
                  <c:v>Feb 2021</c:v>
                </c:pt>
                <c:pt idx="49">
                  <c:v>Feb 2021</c:v>
                </c:pt>
                <c:pt idx="50">
                  <c:v>Feb 2021</c:v>
                </c:pt>
                <c:pt idx="51">
                  <c:v>Feb 2021</c:v>
                </c:pt>
                <c:pt idx="52">
                  <c:v>Feb 2021</c:v>
                </c:pt>
                <c:pt idx="53">
                  <c:v>Feb 2021</c:v>
                </c:pt>
                <c:pt idx="54">
                  <c:v>Feb 2021</c:v>
                </c:pt>
                <c:pt idx="55">
                  <c:v>Feb 2021</c:v>
                </c:pt>
                <c:pt idx="56">
                  <c:v>Feb 2021</c:v>
                </c:pt>
                <c:pt idx="57">
                  <c:v>Feb 2021</c:v>
                </c:pt>
                <c:pt idx="58">
                  <c:v>Feb 2021</c:v>
                </c:pt>
                <c:pt idx="59">
                  <c:v>Mar 2021</c:v>
                </c:pt>
              </c:strCache>
            </c:strRef>
          </c:cat>
          <c:val>
            <c:numRef>
              <c:f>Seasonality!$B$5:$B$64</c:f>
              <c:numCache>
                <c:formatCode>General</c:formatCode>
                <c:ptCount val="60"/>
                <c:pt idx="0">
                  <c:v>1906</c:v>
                </c:pt>
                <c:pt idx="1">
                  <c:v>1565</c:v>
                </c:pt>
                <c:pt idx="2">
                  <c:v>2166</c:v>
                </c:pt>
                <c:pt idx="3">
                  <c:v>1943</c:v>
                </c:pt>
                <c:pt idx="4">
                  <c:v>2096</c:v>
                </c:pt>
                <c:pt idx="5">
                  <c:v>2203</c:v>
                </c:pt>
                <c:pt idx="6">
                  <c:v>2036</c:v>
                </c:pt>
                <c:pt idx="7">
                  <c:v>2474</c:v>
                </c:pt>
                <c:pt idx="8">
                  <c:v>2134</c:v>
                </c:pt>
                <c:pt idx="9">
                  <c:v>2324</c:v>
                </c:pt>
                <c:pt idx="10">
                  <c:v>3139</c:v>
                </c:pt>
                <c:pt idx="11">
                  <c:v>3568</c:v>
                </c:pt>
                <c:pt idx="12">
                  <c:v>1934</c:v>
                </c:pt>
                <c:pt idx="13">
                  <c:v>1615</c:v>
                </c:pt>
                <c:pt idx="14">
                  <c:v>2126</c:v>
                </c:pt>
                <c:pt idx="15">
                  <c:v>2008</c:v>
                </c:pt>
                <c:pt idx="16">
                  <c:v>2041</c:v>
                </c:pt>
                <c:pt idx="17">
                  <c:v>2174</c:v>
                </c:pt>
                <c:pt idx="18">
                  <c:v>2011</c:v>
                </c:pt>
                <c:pt idx="19">
                  <c:v>2349</c:v>
                </c:pt>
                <c:pt idx="20">
                  <c:v>2124</c:v>
                </c:pt>
                <c:pt idx="21">
                  <c:v>2333</c:v>
                </c:pt>
                <c:pt idx="22">
                  <c:v>3257</c:v>
                </c:pt>
                <c:pt idx="23">
                  <c:v>3592</c:v>
                </c:pt>
                <c:pt idx="24">
                  <c:v>1926</c:v>
                </c:pt>
                <c:pt idx="25">
                  <c:v>1585</c:v>
                </c:pt>
                <c:pt idx="26">
                  <c:v>2134</c:v>
                </c:pt>
                <c:pt idx="27">
                  <c:v>2040</c:v>
                </c:pt>
                <c:pt idx="28">
                  <c:v>2054</c:v>
                </c:pt>
                <c:pt idx="29">
                  <c:v>2189</c:v>
                </c:pt>
                <c:pt idx="30">
                  <c:v>2010</c:v>
                </c:pt>
                <c:pt idx="31">
                  <c:v>2484</c:v>
                </c:pt>
                <c:pt idx="32">
                  <c:v>2190</c:v>
                </c:pt>
                <c:pt idx="33">
                  <c:v>2347</c:v>
                </c:pt>
                <c:pt idx="34">
                  <c:v>3177</c:v>
                </c:pt>
                <c:pt idx="35">
                  <c:v>3496</c:v>
                </c:pt>
                <c:pt idx="36">
                  <c:v>1965</c:v>
                </c:pt>
                <c:pt idx="37">
                  <c:v>1617</c:v>
                </c:pt>
                <c:pt idx="38">
                  <c:v>2202</c:v>
                </c:pt>
                <c:pt idx="39">
                  <c:v>2123</c:v>
                </c:pt>
                <c:pt idx="40">
                  <c:v>2048</c:v>
                </c:pt>
                <c:pt idx="41">
                  <c:v>2176</c:v>
                </c:pt>
                <c:pt idx="42">
                  <c:v>2029</c:v>
                </c:pt>
                <c:pt idx="43">
                  <c:v>2394</c:v>
                </c:pt>
                <c:pt idx="44">
                  <c:v>2181</c:v>
                </c:pt>
                <c:pt idx="45">
                  <c:v>2293</c:v>
                </c:pt>
                <c:pt idx="46">
                  <c:v>3297</c:v>
                </c:pt>
                <c:pt idx="47">
                  <c:v>3443</c:v>
                </c:pt>
                <c:pt idx="48">
                  <c:v>1962</c:v>
                </c:pt>
                <c:pt idx="49">
                  <c:v>1645</c:v>
                </c:pt>
                <c:pt idx="50">
                  <c:v>2194</c:v>
                </c:pt>
                <c:pt idx="51">
                  <c:v>2006</c:v>
                </c:pt>
                <c:pt idx="52">
                  <c:v>1999</c:v>
                </c:pt>
                <c:pt idx="53">
                  <c:v>2138</c:v>
                </c:pt>
                <c:pt idx="54">
                  <c:v>2121</c:v>
                </c:pt>
                <c:pt idx="55">
                  <c:v>2363</c:v>
                </c:pt>
                <c:pt idx="56">
                  <c:v>2226</c:v>
                </c:pt>
                <c:pt idx="57">
                  <c:v>2285</c:v>
                </c:pt>
                <c:pt idx="58">
                  <c:v>3191</c:v>
                </c:pt>
                <c:pt idx="59">
                  <c:v>3468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299679"/>
        <c:axId val="57923771"/>
      </c:lineChart>
      <c:catAx>
        <c:axId val="9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23771"/>
        <c:crosses val="autoZero"/>
        <c:auto val="1"/>
        <c:lblAlgn val="ctr"/>
        <c:lblOffset val="100"/>
        <c:noMultiLvlLbl val="0"/>
      </c:catAx>
      <c:valAx>
        <c:axId val="57923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996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9</xdr:row>
      <xdr:rowOff>0</xdr:rowOff>
    </xdr:from>
    <xdr:to>
      <xdr:col>22</xdr:col>
      <xdr:colOff>56880</xdr:colOff>
      <xdr:row>22</xdr:row>
      <xdr:rowOff>109800</xdr:rowOff>
    </xdr:to>
    <xdr:graphicFrame>
      <xdr:nvGraphicFramePr>
        <xdr:cNvPr id="0" name="Chart 1"/>
        <xdr:cNvGraphicFramePr/>
      </xdr:nvGraphicFramePr>
      <xdr:xfrm>
        <a:off x="10600200" y="197172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14</xdr:row>
      <xdr:rowOff>177120</xdr:rowOff>
    </xdr:from>
    <xdr:to>
      <xdr:col>21</xdr:col>
      <xdr:colOff>274680</xdr:colOff>
      <xdr:row>29</xdr:row>
      <xdr:rowOff>149400</xdr:rowOff>
    </xdr:to>
    <xdr:graphicFrame>
      <xdr:nvGraphicFramePr>
        <xdr:cNvPr id="1" name="Chart 2"/>
        <xdr:cNvGraphicFramePr/>
      </xdr:nvGraphicFramePr>
      <xdr:xfrm>
        <a:off x="10600200" y="343836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8</xdr:row>
      <xdr:rowOff>25920</xdr:rowOff>
    </xdr:from>
    <xdr:to>
      <xdr:col>14</xdr:col>
      <xdr:colOff>541800</xdr:colOff>
      <xdr:row>24</xdr:row>
      <xdr:rowOff>146880</xdr:rowOff>
    </xdr:to>
    <xdr:graphicFrame>
      <xdr:nvGraphicFramePr>
        <xdr:cNvPr id="2" name="Chart 1"/>
        <xdr:cNvGraphicFramePr/>
      </xdr:nvGraphicFramePr>
      <xdr:xfrm>
        <a:off x="8928720" y="220968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5</xdr:col>
      <xdr:colOff>176040</xdr:colOff>
      <xdr:row>28</xdr:row>
      <xdr:rowOff>170640</xdr:rowOff>
    </xdr:to>
    <xdr:graphicFrame>
      <xdr:nvGraphicFramePr>
        <xdr:cNvPr id="3" name="Chart 1"/>
        <xdr:cNvGraphicFramePr/>
      </xdr:nvGraphicFramePr>
      <xdr:xfrm>
        <a:off x="0" y="20192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10</xdr:row>
      <xdr:rowOff>0</xdr:rowOff>
    </xdr:from>
    <xdr:to>
      <xdr:col>17</xdr:col>
      <xdr:colOff>400680</xdr:colOff>
      <xdr:row>27</xdr:row>
      <xdr:rowOff>1080</xdr:rowOff>
    </xdr:to>
    <xdr:graphicFrame>
      <xdr:nvGraphicFramePr>
        <xdr:cNvPr id="4" name="Chart 2"/>
        <xdr:cNvGraphicFramePr/>
      </xdr:nvGraphicFramePr>
      <xdr:xfrm>
        <a:off x="9963000" y="201924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12</xdr:row>
      <xdr:rowOff>15120</xdr:rowOff>
    </xdr:from>
    <xdr:to>
      <xdr:col>17</xdr:col>
      <xdr:colOff>149400</xdr:colOff>
      <xdr:row>31</xdr:row>
      <xdr:rowOff>4680</xdr:rowOff>
    </xdr:to>
    <xdr:graphicFrame>
      <xdr:nvGraphicFramePr>
        <xdr:cNvPr id="5" name="Chart 1"/>
        <xdr:cNvGraphicFramePr/>
      </xdr:nvGraphicFramePr>
      <xdr:xfrm>
        <a:off x="8999280" y="316224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158400</xdr:rowOff>
    </xdr:from>
    <xdr:to>
      <xdr:col>6</xdr:col>
      <xdr:colOff>387720</xdr:colOff>
      <xdr:row>40</xdr:row>
      <xdr:rowOff>43200</xdr:rowOff>
    </xdr:to>
    <xdr:graphicFrame>
      <xdr:nvGraphicFramePr>
        <xdr:cNvPr id="6" name="Chart 1"/>
        <xdr:cNvGraphicFramePr/>
      </xdr:nvGraphicFramePr>
      <xdr:xfrm>
        <a:off x="0" y="398160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33</xdr:row>
      <xdr:rowOff>104760</xdr:rowOff>
    </xdr:from>
    <xdr:to>
      <xdr:col>6</xdr:col>
      <xdr:colOff>27720</xdr:colOff>
      <xdr:row>52</xdr:row>
      <xdr:rowOff>84960</xdr:rowOff>
    </xdr:to>
    <xdr:graphicFrame>
      <xdr:nvGraphicFramePr>
        <xdr:cNvPr id="7" name="Chart 2"/>
        <xdr:cNvGraphicFramePr/>
      </xdr:nvGraphicFramePr>
      <xdr:xfrm>
        <a:off x="0" y="702936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84240</xdr:rowOff>
    </xdr:from>
    <xdr:to>
      <xdr:col>6</xdr:col>
      <xdr:colOff>599040</xdr:colOff>
      <xdr:row>33</xdr:row>
      <xdr:rowOff>45360</xdr:rowOff>
    </xdr:to>
    <xdr:graphicFrame>
      <xdr:nvGraphicFramePr>
        <xdr:cNvPr id="8" name="Chart 1"/>
        <xdr:cNvGraphicFramePr/>
      </xdr:nvGraphicFramePr>
      <xdr:xfrm>
        <a:off x="0" y="34574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7560</xdr:rowOff>
    </xdr:from>
    <xdr:to>
      <xdr:col>3</xdr:col>
      <xdr:colOff>1507680</xdr:colOff>
      <xdr:row>34</xdr:row>
      <xdr:rowOff>42840</xdr:rowOff>
    </xdr:to>
    <xdr:graphicFrame>
      <xdr:nvGraphicFramePr>
        <xdr:cNvPr id="9" name="Chart 1"/>
        <xdr:cNvGraphicFramePr/>
      </xdr:nvGraphicFramePr>
      <xdr:xfrm>
        <a:off x="0" y="2781360"/>
        <a:ext cx="46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101160</xdr:rowOff>
    </xdr:from>
    <xdr:to>
      <xdr:col>10</xdr:col>
      <xdr:colOff>1132920</xdr:colOff>
      <xdr:row>26</xdr:row>
      <xdr:rowOff>106200</xdr:rowOff>
    </xdr:to>
    <xdr:graphicFrame>
      <xdr:nvGraphicFramePr>
        <xdr:cNvPr id="10" name="Chart 2"/>
        <xdr:cNvGraphicFramePr/>
      </xdr:nvGraphicFramePr>
      <xdr:xfrm>
        <a:off x="8364960" y="2400480"/>
        <a:ext cx="35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16</xdr:col>
      <xdr:colOff>581400</xdr:colOff>
      <xdr:row>25</xdr:row>
      <xdr:rowOff>128520</xdr:rowOff>
    </xdr:to>
    <xdr:graphicFrame>
      <xdr:nvGraphicFramePr>
        <xdr:cNvPr id="11" name="Chart 1"/>
        <xdr:cNvGraphicFramePr/>
      </xdr:nvGraphicFramePr>
      <xdr:xfrm>
        <a:off x="3148920" y="628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37</xdr:row>
      <xdr:rowOff>0</xdr:rowOff>
    </xdr:from>
    <xdr:to>
      <xdr:col>16</xdr:col>
      <xdr:colOff>581400</xdr:colOff>
      <xdr:row>55</xdr:row>
      <xdr:rowOff>170640</xdr:rowOff>
    </xdr:to>
    <xdr:graphicFrame>
      <xdr:nvGraphicFramePr>
        <xdr:cNvPr id="12" name="Chart 2"/>
        <xdr:cNvGraphicFramePr/>
      </xdr:nvGraphicFramePr>
      <xdr:xfrm>
        <a:off x="3148920" y="71056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A1:AB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32"/>
    <col collapsed="false" customWidth="true" hidden="false" outlineLevel="0" max="28" min="8" style="0" width="8.2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49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1"/>
      <c r="Z2" s="1"/>
      <c r="AA2" s="1"/>
      <c r="AB2" s="1"/>
    </row>
    <row r="3" customFormat="false" ht="15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1"/>
      <c r="Z3" s="1"/>
      <c r="AA3" s="1"/>
      <c r="AB3" s="1"/>
    </row>
    <row r="4" customFormat="false" ht="4.5" hidden="false" customHeight="true" outlineLevel="0" collapsed="false">
      <c r="A4" s="4"/>
      <c r="B4" s="4"/>
      <c r="C4" s="4"/>
      <c r="D4" s="5"/>
      <c r="E4" s="5"/>
      <c r="F4" s="5"/>
      <c r="G4" s="6"/>
      <c r="H4" s="6"/>
      <c r="I4" s="6"/>
      <c r="J4" s="7"/>
      <c r="K4" s="7"/>
      <c r="L4" s="7"/>
      <c r="M4" s="8"/>
      <c r="N4" s="8"/>
      <c r="O4" s="8"/>
      <c r="P4" s="9"/>
      <c r="Q4" s="9"/>
      <c r="R4" s="9"/>
      <c r="S4" s="10"/>
      <c r="T4" s="10"/>
      <c r="U4" s="10"/>
      <c r="V4" s="5"/>
      <c r="W4" s="5"/>
      <c r="X4" s="5"/>
      <c r="Y4" s="1"/>
      <c r="Z4" s="1"/>
      <c r="AA4" s="1"/>
      <c r="AB4" s="1"/>
    </row>
    <row r="5" customFormat="false" ht="19.5" hidden="false" customHeight="true" outlineLevel="0" collapsed="false">
      <c r="A5" s="11" t="s">
        <v>2</v>
      </c>
      <c r="B5" s="11"/>
      <c r="C5" s="11"/>
      <c r="D5" s="11" t="s">
        <v>3</v>
      </c>
      <c r="E5" s="11"/>
      <c r="F5" s="11"/>
      <c r="G5" s="11" t="s">
        <v>4</v>
      </c>
      <c r="H5" s="11"/>
      <c r="I5" s="11"/>
      <c r="J5" s="11" t="s">
        <v>5</v>
      </c>
      <c r="K5" s="11"/>
      <c r="L5" s="11"/>
      <c r="M5" s="11" t="s">
        <v>6</v>
      </c>
      <c r="N5" s="11"/>
      <c r="O5" s="11"/>
      <c r="P5" s="11" t="s">
        <v>7</v>
      </c>
      <c r="Q5" s="11"/>
      <c r="R5" s="11"/>
      <c r="S5" s="11" t="s">
        <v>8</v>
      </c>
      <c r="T5" s="11"/>
      <c r="U5" s="11"/>
      <c r="V5" s="11" t="s">
        <v>9</v>
      </c>
      <c r="W5" s="11"/>
      <c r="X5" s="11"/>
      <c r="Y5" s="1"/>
      <c r="Z5" s="1"/>
      <c r="AA5" s="1"/>
      <c r="AB5" s="1"/>
    </row>
    <row r="6" customFormat="false" ht="33.75" hidden="false" customHeight="true" outlineLevel="0" collapsed="false">
      <c r="A6" s="12" t="s">
        <v>10</v>
      </c>
      <c r="B6" s="12"/>
      <c r="C6" s="12"/>
      <c r="D6" s="13" t="s">
        <v>11</v>
      </c>
      <c r="E6" s="13"/>
      <c r="F6" s="13"/>
      <c r="G6" s="14" t="s">
        <v>12</v>
      </c>
      <c r="H6" s="14"/>
      <c r="I6" s="14"/>
      <c r="J6" s="15" t="s">
        <v>13</v>
      </c>
      <c r="K6" s="15"/>
      <c r="L6" s="15"/>
      <c r="M6" s="16" t="s">
        <v>14</v>
      </c>
      <c r="N6" s="16"/>
      <c r="O6" s="16"/>
      <c r="P6" s="17" t="s">
        <v>15</v>
      </c>
      <c r="Q6" s="17"/>
      <c r="R6" s="17"/>
      <c r="S6" s="18" t="s">
        <v>16</v>
      </c>
      <c r="T6" s="18"/>
      <c r="U6" s="18"/>
      <c r="V6" s="13" t="s">
        <v>17</v>
      </c>
      <c r="W6" s="13"/>
      <c r="X6" s="13"/>
      <c r="Y6" s="1"/>
      <c r="Z6" s="1"/>
      <c r="AA6" s="1"/>
      <c r="AB6" s="1"/>
    </row>
    <row r="7" customFormat="false" ht="15.75" hidden="false" customHeight="true" outlineLevel="0" collapsed="false">
      <c r="A7" s="19" t="s">
        <v>18</v>
      </c>
      <c r="B7" s="19"/>
      <c r="C7" s="19"/>
      <c r="D7" s="19" t="s">
        <v>19</v>
      </c>
      <c r="E7" s="19"/>
      <c r="F7" s="19"/>
      <c r="G7" s="19" t="s">
        <v>20</v>
      </c>
      <c r="H7" s="19"/>
      <c r="I7" s="19"/>
      <c r="J7" s="19" t="s">
        <v>21</v>
      </c>
      <c r="K7" s="19"/>
      <c r="L7" s="19"/>
      <c r="M7" s="19" t="s">
        <v>22</v>
      </c>
      <c r="N7" s="19"/>
      <c r="O7" s="19"/>
      <c r="P7" s="19" t="s">
        <v>23</v>
      </c>
      <c r="Q7" s="19"/>
      <c r="R7" s="19"/>
      <c r="S7" s="19" t="s">
        <v>24</v>
      </c>
      <c r="T7" s="19"/>
      <c r="U7" s="19"/>
      <c r="V7" s="19" t="s">
        <v>25</v>
      </c>
      <c r="W7" s="19"/>
      <c r="X7" s="19"/>
      <c r="Y7" s="1"/>
      <c r="Z7" s="1"/>
      <c r="AA7" s="1"/>
      <c r="AB7" s="1"/>
    </row>
    <row r="8" customFormat="false" ht="4.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customFormat="false" ht="6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customFormat="false" ht="19.5" hidden="false" customHeight="true" outlineLevel="0" collapsed="false">
      <c r="A10" s="20" t="s">
        <v>26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customFormat="false" ht="22.35" hidden="false" customHeight="false" outlineLevel="0" collapsed="false">
      <c r="A11" s="21" t="s">
        <v>27</v>
      </c>
      <c r="B11" s="21" t="s">
        <v>28</v>
      </c>
      <c r="C11" s="21" t="s">
        <v>29</v>
      </c>
      <c r="D11" s="21" t="s">
        <v>30</v>
      </c>
      <c r="E11" s="21" t="s">
        <v>31</v>
      </c>
      <c r="F11" s="21" t="s">
        <v>32</v>
      </c>
      <c r="G11" s="21" t="s">
        <v>33</v>
      </c>
      <c r="H11" s="1"/>
      <c r="I11" s="21" t="s">
        <v>34</v>
      </c>
      <c r="J11" s="21" t="s">
        <v>32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customFormat="false" ht="22.35" hidden="false" customHeight="false" outlineLevel="0" collapsed="false">
      <c r="A12" s="22" t="s">
        <v>35</v>
      </c>
      <c r="B12" s="23" t="n">
        <v>17864</v>
      </c>
      <c r="C12" s="23" t="n">
        <v>21.77</v>
      </c>
      <c r="D12" s="23" t="n">
        <v>24.53</v>
      </c>
      <c r="E12" s="23" t="n">
        <v>12.9</v>
      </c>
      <c r="F12" s="23" t="n">
        <v>54.11</v>
      </c>
      <c r="G12" s="24" t="s">
        <v>36</v>
      </c>
      <c r="H12" s="1"/>
      <c r="I12" s="23" t="s">
        <v>37</v>
      </c>
      <c r="J12" s="23" t="n">
        <v>54.11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customFormat="false" ht="15" hidden="false" customHeight="false" outlineLevel="0" collapsed="false">
      <c r="A13" s="25" t="s">
        <v>38</v>
      </c>
      <c r="B13" s="26" t="n">
        <v>35031</v>
      </c>
      <c r="C13" s="26" t="n">
        <v>42.09</v>
      </c>
      <c r="D13" s="26" t="n">
        <v>44.37</v>
      </c>
      <c r="E13" s="26" t="n">
        <v>21.85</v>
      </c>
      <c r="F13" s="26" t="n">
        <v>51.05</v>
      </c>
      <c r="G13" s="25" t="s">
        <v>39</v>
      </c>
      <c r="H13" s="1"/>
      <c r="I13" s="23" t="s">
        <v>40</v>
      </c>
      <c r="J13" s="23" t="n">
        <v>51.05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customFormat="false" ht="22.35" hidden="false" customHeight="false" outlineLevel="0" collapsed="false">
      <c r="A14" s="22" t="s">
        <v>41</v>
      </c>
      <c r="B14" s="23" t="n">
        <v>49198</v>
      </c>
      <c r="C14" s="23" t="n">
        <v>61.71</v>
      </c>
      <c r="D14" s="23" t="n">
        <v>59.61</v>
      </c>
      <c r="E14" s="23" t="n">
        <v>26.74</v>
      </c>
      <c r="F14" s="23" t="n">
        <v>46.66</v>
      </c>
      <c r="G14" s="22" t="s">
        <v>42</v>
      </c>
      <c r="H14" s="1"/>
      <c r="I14" s="23" t="s">
        <v>43</v>
      </c>
      <c r="J14" s="23" t="n">
        <v>46.66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customFormat="false" ht="22.35" hidden="false" customHeight="false" outlineLevel="0" collapsed="false">
      <c r="A15" s="25" t="s">
        <v>44</v>
      </c>
      <c r="B15" s="26" t="n">
        <v>36023</v>
      </c>
      <c r="C15" s="26" t="n">
        <v>64.4</v>
      </c>
      <c r="D15" s="26" t="n">
        <v>48.62</v>
      </c>
      <c r="E15" s="26" t="n">
        <v>14.66</v>
      </c>
      <c r="F15" s="26" t="n">
        <v>32.58</v>
      </c>
      <c r="G15" s="27" t="s">
        <v>45</v>
      </c>
      <c r="H15" s="1"/>
      <c r="I15" s="23" t="s">
        <v>46</v>
      </c>
      <c r="J15" s="23" t="n">
        <v>32.58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customFormat="false" ht="6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customFormat="false" ht="19.5" hidden="false" customHeight="true" outlineLevel="0" collapsed="false">
      <c r="A18" s="20" t="s">
        <v>47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customFormat="false" ht="15" hidden="false" customHeight="false" outlineLevel="0" collapsed="false">
      <c r="A19" s="21" t="s">
        <v>48</v>
      </c>
      <c r="B19" s="21" t="s">
        <v>28</v>
      </c>
      <c r="C19" s="21" t="s">
        <v>49</v>
      </c>
      <c r="D19" s="21" t="s">
        <v>50</v>
      </c>
      <c r="E19" s="21" t="s">
        <v>51</v>
      </c>
      <c r="F19" s="21" t="s">
        <v>52</v>
      </c>
      <c r="G19" s="21" t="s">
        <v>53</v>
      </c>
      <c r="H19" s="1"/>
      <c r="I19" s="21" t="s">
        <v>48</v>
      </c>
      <c r="J19" s="21" t="s">
        <v>28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customFormat="false" ht="22.35" hidden="false" customHeight="false" outlineLevel="0" collapsed="false">
      <c r="A20" s="23" t="s">
        <v>14</v>
      </c>
      <c r="B20" s="23" t="n">
        <v>75636</v>
      </c>
      <c r="C20" s="23" t="n">
        <v>15.55</v>
      </c>
      <c r="D20" s="23" t="n">
        <v>1.86</v>
      </c>
      <c r="E20" s="23" t="n">
        <v>5175</v>
      </c>
      <c r="F20" s="23" t="n">
        <v>6.84</v>
      </c>
      <c r="G20" s="22" t="s">
        <v>54</v>
      </c>
      <c r="H20" s="1"/>
      <c r="I20" s="23" t="s">
        <v>14</v>
      </c>
      <c r="J20" s="23" t="n">
        <v>75636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customFormat="false" ht="22.35" hidden="false" customHeight="false" outlineLevel="0" collapsed="false">
      <c r="A21" s="26" t="s">
        <v>55</v>
      </c>
      <c r="B21" s="26" t="n">
        <v>34746</v>
      </c>
      <c r="C21" s="26" t="n">
        <v>20.23</v>
      </c>
      <c r="D21" s="26" t="n">
        <v>1.21</v>
      </c>
      <c r="E21" s="26" t="n">
        <v>2381</v>
      </c>
      <c r="F21" s="26" t="n">
        <v>6.85</v>
      </c>
      <c r="G21" s="25" t="s">
        <v>56</v>
      </c>
      <c r="H21" s="1"/>
      <c r="I21" s="23" t="s">
        <v>55</v>
      </c>
      <c r="J21" s="23" t="n">
        <v>34746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customFormat="false" ht="22.35" hidden="false" customHeight="false" outlineLevel="0" collapsed="false">
      <c r="A22" s="23" t="s">
        <v>57</v>
      </c>
      <c r="B22" s="23" t="n">
        <v>13957</v>
      </c>
      <c r="C22" s="23" t="n">
        <v>20.2</v>
      </c>
      <c r="D22" s="23" t="n">
        <v>1.2</v>
      </c>
      <c r="E22" s="23" t="n">
        <v>934</v>
      </c>
      <c r="F22" s="23" t="n">
        <v>6.69</v>
      </c>
      <c r="G22" s="22" t="s">
        <v>58</v>
      </c>
      <c r="H22" s="1"/>
      <c r="I22" s="23" t="s">
        <v>57</v>
      </c>
      <c r="J22" s="23" t="n">
        <v>13957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customFormat="false" ht="22.35" hidden="false" customHeight="false" outlineLevel="0" collapsed="false">
      <c r="A23" s="26" t="s">
        <v>59</v>
      </c>
      <c r="B23" s="26" t="n">
        <v>13777</v>
      </c>
      <c r="C23" s="26" t="n">
        <v>15.78</v>
      </c>
      <c r="D23" s="26" t="n">
        <v>1.84</v>
      </c>
      <c r="E23" s="26" t="n">
        <v>972</v>
      </c>
      <c r="F23" s="26" t="n">
        <v>7.06</v>
      </c>
      <c r="G23" s="25" t="s">
        <v>60</v>
      </c>
      <c r="H23" s="1"/>
      <c r="I23" s="23" t="s">
        <v>59</v>
      </c>
      <c r="J23" s="23" t="n">
        <v>13777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</sheetData>
  <mergeCells count="36">
    <mergeCell ref="A2:X2"/>
    <mergeCell ref="A3:X3"/>
    <mergeCell ref="A4:C4"/>
    <mergeCell ref="D4:F4"/>
    <mergeCell ref="G4:I4"/>
    <mergeCell ref="J4:L4"/>
    <mergeCell ref="M4:O4"/>
    <mergeCell ref="P4:R4"/>
    <mergeCell ref="S4:U4"/>
    <mergeCell ref="V4:X4"/>
    <mergeCell ref="A5:C5"/>
    <mergeCell ref="D5:F5"/>
    <mergeCell ref="G5:I5"/>
    <mergeCell ref="J5:L5"/>
    <mergeCell ref="M5:O5"/>
    <mergeCell ref="P5:R5"/>
    <mergeCell ref="S5:U5"/>
    <mergeCell ref="V5:X5"/>
    <mergeCell ref="A6:C6"/>
    <mergeCell ref="D6:F6"/>
    <mergeCell ref="G6:I6"/>
    <mergeCell ref="J6:L6"/>
    <mergeCell ref="M6:O6"/>
    <mergeCell ref="P6:R6"/>
    <mergeCell ref="S6:U6"/>
    <mergeCell ref="V6:X6"/>
    <mergeCell ref="A7:C7"/>
    <mergeCell ref="D7:F7"/>
    <mergeCell ref="G7:I7"/>
    <mergeCell ref="J7:L7"/>
    <mergeCell ref="M7:O7"/>
    <mergeCell ref="P7:R7"/>
    <mergeCell ref="S7:U7"/>
    <mergeCell ref="V7:X7"/>
    <mergeCell ref="A10:N10"/>
    <mergeCell ref="A18:N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4D8"/>
    <pageSetUpPr fitToPage="false"/>
  </sheetPr>
  <dimension ref="A1:P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30"/>
    <col collapsed="false" customWidth="true" hidden="false" outlineLevel="0" max="7" min="7" style="0" width="20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19.5" hidden="false" customHeight="true" outlineLevel="0" collapsed="false">
      <c r="A1" s="28" t="s">
        <v>61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1"/>
      <c r="N1" s="1"/>
      <c r="O1" s="1"/>
      <c r="P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9.5" hidden="false" customHeight="true" outlineLevel="0" collapsed="false">
      <c r="A3" s="20" t="s">
        <v>62</v>
      </c>
      <c r="B3" s="20"/>
      <c r="C3" s="20"/>
      <c r="D3" s="20"/>
      <c r="E3" s="20"/>
      <c r="F3" s="20"/>
      <c r="G3" s="20"/>
      <c r="H3" s="20"/>
      <c r="I3" s="29" t="s">
        <v>63</v>
      </c>
      <c r="J3" s="29"/>
      <c r="K3" s="29"/>
      <c r="L3" s="29"/>
      <c r="M3" s="1"/>
      <c r="N3" s="1"/>
      <c r="O3" s="1"/>
      <c r="P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15" hidden="false" customHeight="false" outlineLevel="0" collapsed="false">
      <c r="A5" s="21" t="s">
        <v>64</v>
      </c>
      <c r="B5" s="21" t="s">
        <v>65</v>
      </c>
      <c r="C5" s="21" t="s">
        <v>66</v>
      </c>
      <c r="D5" s="21" t="s">
        <v>67</v>
      </c>
      <c r="E5" s="21" t="s">
        <v>68</v>
      </c>
      <c r="F5" s="21" t="s">
        <v>69</v>
      </c>
      <c r="G5" s="21" t="s">
        <v>70</v>
      </c>
      <c r="H5" s="1"/>
      <c r="I5" s="21" t="s">
        <v>67</v>
      </c>
      <c r="J5" s="21" t="s">
        <v>71</v>
      </c>
      <c r="K5" s="1"/>
      <c r="L5" s="1"/>
      <c r="M5" s="1"/>
      <c r="N5" s="1"/>
      <c r="O5" s="1"/>
      <c r="P5" s="1"/>
    </row>
    <row r="6" customFormat="false" ht="32.8" hidden="false" customHeight="false" outlineLevel="0" collapsed="false">
      <c r="A6" s="30" t="n">
        <v>1</v>
      </c>
      <c r="B6" s="31" t="s">
        <v>72</v>
      </c>
      <c r="C6" s="22" t="s">
        <v>73</v>
      </c>
      <c r="D6" s="23" t="s">
        <v>74</v>
      </c>
      <c r="E6" s="23" t="s">
        <v>75</v>
      </c>
      <c r="F6" s="23" t="s">
        <v>76</v>
      </c>
      <c r="G6" s="22" t="s">
        <v>77</v>
      </c>
      <c r="H6" s="1"/>
      <c r="I6" s="23" t="s">
        <v>78</v>
      </c>
      <c r="J6" s="23" t="n">
        <v>35</v>
      </c>
      <c r="K6" s="1"/>
      <c r="L6" s="1"/>
      <c r="M6" s="1"/>
      <c r="N6" s="1"/>
      <c r="O6" s="1"/>
      <c r="P6" s="1"/>
    </row>
    <row r="7" customFormat="false" ht="22.35" hidden="false" customHeight="false" outlineLevel="0" collapsed="false">
      <c r="A7" s="32" t="n">
        <v>2</v>
      </c>
      <c r="B7" s="33" t="s">
        <v>79</v>
      </c>
      <c r="C7" s="25" t="s">
        <v>80</v>
      </c>
      <c r="D7" s="26" t="s">
        <v>78</v>
      </c>
      <c r="E7" s="26" t="s">
        <v>81</v>
      </c>
      <c r="F7" s="26" t="s">
        <v>82</v>
      </c>
      <c r="G7" s="25" t="s">
        <v>83</v>
      </c>
      <c r="H7" s="1"/>
      <c r="I7" s="26" t="s">
        <v>74</v>
      </c>
      <c r="J7" s="26" t="n">
        <v>22</v>
      </c>
      <c r="K7" s="1"/>
      <c r="L7" s="1"/>
      <c r="M7" s="1"/>
      <c r="N7" s="1"/>
      <c r="O7" s="1"/>
      <c r="P7" s="1"/>
    </row>
    <row r="8" customFormat="false" ht="32.8" hidden="false" customHeight="false" outlineLevel="0" collapsed="false">
      <c r="A8" s="30" t="n">
        <v>3</v>
      </c>
      <c r="B8" s="31" t="s">
        <v>84</v>
      </c>
      <c r="C8" s="22" t="s">
        <v>85</v>
      </c>
      <c r="D8" s="23" t="s">
        <v>86</v>
      </c>
      <c r="E8" s="23" t="s">
        <v>87</v>
      </c>
      <c r="F8" s="23" t="s">
        <v>88</v>
      </c>
      <c r="G8" s="22" t="s">
        <v>89</v>
      </c>
      <c r="H8" s="1"/>
      <c r="I8" s="23" t="s">
        <v>90</v>
      </c>
      <c r="J8" s="23" t="n">
        <v>18</v>
      </c>
      <c r="K8" s="1"/>
      <c r="L8" s="1"/>
      <c r="M8" s="1"/>
      <c r="N8" s="1"/>
      <c r="O8" s="1"/>
      <c r="P8" s="1"/>
    </row>
    <row r="9" customFormat="false" ht="15" hidden="false" customHeight="false" outlineLevel="0" collapsed="false">
      <c r="A9" s="32" t="n">
        <v>4</v>
      </c>
      <c r="B9" s="33" t="s">
        <v>91</v>
      </c>
      <c r="C9" s="25" t="s">
        <v>92</v>
      </c>
      <c r="D9" s="26" t="s">
        <v>93</v>
      </c>
      <c r="E9" s="26" t="s">
        <v>94</v>
      </c>
      <c r="F9" s="26" t="s">
        <v>95</v>
      </c>
      <c r="G9" s="25" t="s">
        <v>96</v>
      </c>
      <c r="H9" s="1"/>
      <c r="I9" s="26" t="s">
        <v>97</v>
      </c>
      <c r="J9" s="26" t="n">
        <v>15</v>
      </c>
      <c r="K9" s="1"/>
      <c r="L9" s="1"/>
      <c r="M9" s="1"/>
      <c r="N9" s="1"/>
      <c r="O9" s="1"/>
      <c r="P9" s="1"/>
    </row>
    <row r="10" customFormat="false" ht="22.35" hidden="false" customHeight="false" outlineLevel="0" collapsed="false">
      <c r="A10" s="30" t="n">
        <v>5</v>
      </c>
      <c r="B10" s="31" t="s">
        <v>91</v>
      </c>
      <c r="C10" s="22" t="s">
        <v>98</v>
      </c>
      <c r="D10" s="23" t="s">
        <v>97</v>
      </c>
      <c r="E10" s="23" t="s">
        <v>99</v>
      </c>
      <c r="F10" s="23" t="s">
        <v>100</v>
      </c>
      <c r="G10" s="22" t="s">
        <v>101</v>
      </c>
      <c r="H10" s="1"/>
      <c r="I10" s="23" t="s">
        <v>102</v>
      </c>
      <c r="J10" s="23" t="n">
        <v>10</v>
      </c>
      <c r="K10" s="1"/>
      <c r="L10" s="1"/>
      <c r="M10" s="1"/>
      <c r="N10" s="1"/>
      <c r="O10" s="1"/>
      <c r="P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customFormat="false" ht="19.5" hidden="false" customHeight="true" outlineLevel="0" collapsed="false">
      <c r="A13" s="29" t="s">
        <v>103</v>
      </c>
      <c r="B13" s="29"/>
      <c r="C13" s="29"/>
      <c r="D13" s="29"/>
      <c r="E13" s="29"/>
      <c r="F13" s="29"/>
      <c r="G13" s="29"/>
      <c r="H13" s="29"/>
      <c r="I13" s="1"/>
      <c r="J13" s="1"/>
      <c r="K13" s="1"/>
      <c r="L13" s="1"/>
      <c r="M13" s="1"/>
      <c r="N13" s="1"/>
      <c r="O13" s="1"/>
      <c r="P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customFormat="false" ht="15" hidden="false" customHeight="false" outlineLevel="0" collapsed="false">
      <c r="A15" s="21" t="s">
        <v>67</v>
      </c>
      <c r="B15" s="21" t="s">
        <v>104</v>
      </c>
      <c r="C15" s="21" t="s">
        <v>105</v>
      </c>
      <c r="D15" s="21" t="s">
        <v>106</v>
      </c>
      <c r="E15" s="21" t="s">
        <v>107</v>
      </c>
      <c r="F15" s="21" t="s">
        <v>108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customFormat="false" ht="22.35" hidden="false" customHeight="false" outlineLevel="0" collapsed="false">
      <c r="A16" s="22" t="s">
        <v>78</v>
      </c>
      <c r="B16" s="23" t="s">
        <v>109</v>
      </c>
      <c r="C16" s="23" t="s">
        <v>87</v>
      </c>
      <c r="D16" s="23" t="s">
        <v>110</v>
      </c>
      <c r="E16" s="23" t="s">
        <v>111</v>
      </c>
      <c r="F16" s="22" t="s">
        <v>112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customFormat="false" ht="22.35" hidden="false" customHeight="false" outlineLevel="0" collapsed="false">
      <c r="A17" s="25" t="s">
        <v>74</v>
      </c>
      <c r="B17" s="26" t="s">
        <v>113</v>
      </c>
      <c r="C17" s="26" t="s">
        <v>75</v>
      </c>
      <c r="D17" s="26" t="s">
        <v>114</v>
      </c>
      <c r="E17" s="26" t="s">
        <v>115</v>
      </c>
      <c r="F17" s="25" t="s">
        <v>116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customFormat="false" ht="22.35" hidden="false" customHeight="false" outlineLevel="0" collapsed="false">
      <c r="A18" s="22" t="s">
        <v>90</v>
      </c>
      <c r="B18" s="23" t="s">
        <v>117</v>
      </c>
      <c r="C18" s="23" t="s">
        <v>94</v>
      </c>
      <c r="D18" s="23" t="s">
        <v>118</v>
      </c>
      <c r="E18" s="23" t="s">
        <v>119</v>
      </c>
      <c r="F18" s="22" t="s">
        <v>120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customFormat="false" ht="15" hidden="false" customHeight="false" outlineLevel="0" collapsed="false">
      <c r="A19" s="25" t="s">
        <v>97</v>
      </c>
      <c r="B19" s="26" t="s">
        <v>121</v>
      </c>
      <c r="C19" s="26" t="s">
        <v>99</v>
      </c>
      <c r="D19" s="26" t="s">
        <v>122</v>
      </c>
      <c r="E19" s="26" t="s">
        <v>123</v>
      </c>
      <c r="F19" s="25" t="s">
        <v>124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customFormat="false" ht="15" hidden="false" customHeight="false" outlineLevel="0" collapsed="false">
      <c r="A20" s="22" t="s">
        <v>102</v>
      </c>
      <c r="B20" s="23" t="s">
        <v>125</v>
      </c>
      <c r="C20" s="23" t="s">
        <v>81</v>
      </c>
      <c r="D20" s="23" t="s">
        <v>126</v>
      </c>
      <c r="E20" s="23" t="s">
        <v>127</v>
      </c>
      <c r="F20" s="22" t="s">
        <v>128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mergeCells count="4">
    <mergeCell ref="A1:L1"/>
    <mergeCell ref="A3:H3"/>
    <mergeCell ref="I3:L3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CC71"/>
    <pageSetUpPr fitToPage="false"/>
  </sheetPr>
  <dimension ref="A1:R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11" min="11" style="0" width="12"/>
    <col collapsed="false" customWidth="true" hidden="false" outlineLevel="0" max="13" min="12" style="0" width="13"/>
  </cols>
  <sheetData>
    <row r="1" customFormat="false" ht="19.5" hidden="false" customHeight="true" outlineLevel="0" collapsed="false">
      <c r="A1" s="28" t="s">
        <v>129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1"/>
      <c r="P1" s="1"/>
      <c r="Q1" s="1"/>
      <c r="R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9.5" hidden="false" customHeight="true" outlineLevel="0" collapsed="false">
      <c r="A3" s="20" t="s">
        <v>130</v>
      </c>
      <c r="B3" s="20"/>
      <c r="C3" s="20"/>
      <c r="D3" s="20"/>
      <c r="E3" s="20"/>
      <c r="F3" s="20"/>
      <c r="G3" s="20"/>
      <c r="H3" s="20"/>
      <c r="I3" s="20"/>
      <c r="J3" s="20"/>
      <c r="K3" s="1"/>
      <c r="L3" s="1"/>
      <c r="M3" s="1"/>
      <c r="N3" s="1"/>
      <c r="O3" s="1"/>
      <c r="P3" s="1"/>
      <c r="Q3" s="1"/>
      <c r="R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15" hidden="false" customHeight="false" outlineLevel="0" collapsed="false">
      <c r="A5" s="21" t="s">
        <v>34</v>
      </c>
      <c r="B5" s="21" t="s">
        <v>28</v>
      </c>
      <c r="C5" s="21" t="s">
        <v>131</v>
      </c>
      <c r="D5" s="21" t="s">
        <v>132</v>
      </c>
      <c r="E5" s="21" t="s">
        <v>133</v>
      </c>
      <c r="F5" s="21" t="s">
        <v>32</v>
      </c>
      <c r="G5" s="21" t="s">
        <v>134</v>
      </c>
      <c r="H5" s="21" t="s">
        <v>33</v>
      </c>
      <c r="I5" s="1"/>
      <c r="J5" s="1"/>
      <c r="K5" s="21" t="s">
        <v>34</v>
      </c>
      <c r="L5" s="21" t="s">
        <v>30</v>
      </c>
      <c r="M5" s="21" t="s">
        <v>31</v>
      </c>
      <c r="N5" s="1"/>
      <c r="O5" s="1"/>
      <c r="P5" s="1"/>
      <c r="Q5" s="1"/>
      <c r="R5" s="1"/>
    </row>
    <row r="6" customFormat="false" ht="15" hidden="false" customHeight="false" outlineLevel="0" collapsed="false">
      <c r="A6" s="23" t="s">
        <v>135</v>
      </c>
      <c r="B6" s="23" t="n">
        <v>17864</v>
      </c>
      <c r="C6" s="34" t="n">
        <v>21770139</v>
      </c>
      <c r="D6" s="34" t="n">
        <v>24529545</v>
      </c>
      <c r="E6" s="34" t="n">
        <v>12899974</v>
      </c>
      <c r="F6" s="23" t="n">
        <v>54.11</v>
      </c>
      <c r="G6" s="34" t="n">
        <v>0</v>
      </c>
      <c r="H6" s="24" t="s">
        <v>136</v>
      </c>
      <c r="I6" s="1"/>
      <c r="J6" s="1"/>
      <c r="K6" s="23" t="s">
        <v>37</v>
      </c>
      <c r="L6" s="23" t="n">
        <v>24.53</v>
      </c>
      <c r="M6" s="23" t="n">
        <v>12.9</v>
      </c>
      <c r="N6" s="1"/>
      <c r="O6" s="1"/>
      <c r="P6" s="1"/>
      <c r="Q6" s="1"/>
      <c r="R6" s="1"/>
    </row>
    <row r="7" customFormat="false" ht="15" hidden="false" customHeight="false" outlineLevel="0" collapsed="false">
      <c r="A7" s="26" t="s">
        <v>137</v>
      </c>
      <c r="B7" s="26" t="n">
        <v>35031</v>
      </c>
      <c r="C7" s="35" t="n">
        <v>42088168</v>
      </c>
      <c r="D7" s="35" t="n">
        <v>44374712</v>
      </c>
      <c r="E7" s="35" t="n">
        <v>21851907</v>
      </c>
      <c r="F7" s="26" t="n">
        <v>51.05</v>
      </c>
      <c r="G7" s="35" t="n">
        <v>0</v>
      </c>
      <c r="H7" s="25" t="s">
        <v>138</v>
      </c>
      <c r="I7" s="1"/>
      <c r="J7" s="1"/>
      <c r="K7" s="23" t="s">
        <v>40</v>
      </c>
      <c r="L7" s="23" t="n">
        <v>44.37</v>
      </c>
      <c r="M7" s="23" t="n">
        <v>21.85</v>
      </c>
      <c r="N7" s="1"/>
      <c r="O7" s="1"/>
      <c r="P7" s="1"/>
      <c r="Q7" s="1"/>
      <c r="R7" s="1"/>
    </row>
    <row r="8" customFormat="false" ht="15" hidden="false" customHeight="false" outlineLevel="0" collapsed="false">
      <c r="A8" s="23" t="s">
        <v>139</v>
      </c>
      <c r="B8" s="23" t="n">
        <v>49198</v>
      </c>
      <c r="C8" s="34" t="n">
        <v>61708018</v>
      </c>
      <c r="D8" s="34" t="n">
        <v>59606722</v>
      </c>
      <c r="E8" s="34" t="n">
        <v>26735325</v>
      </c>
      <c r="F8" s="23" t="n">
        <v>46.66</v>
      </c>
      <c r="G8" s="34" t="n">
        <v>2101296</v>
      </c>
      <c r="H8" s="22" t="s">
        <v>140</v>
      </c>
      <c r="I8" s="1"/>
      <c r="J8" s="1"/>
      <c r="K8" s="23" t="s">
        <v>43</v>
      </c>
      <c r="L8" s="23" t="n">
        <v>59.61</v>
      </c>
      <c r="M8" s="23" t="n">
        <v>26.74</v>
      </c>
      <c r="N8" s="1"/>
      <c r="O8" s="1"/>
      <c r="P8" s="1"/>
      <c r="Q8" s="1"/>
      <c r="R8" s="1"/>
    </row>
    <row r="9" customFormat="false" ht="15" hidden="false" customHeight="false" outlineLevel="0" collapsed="false">
      <c r="A9" s="26" t="s">
        <v>141</v>
      </c>
      <c r="B9" s="26" t="n">
        <v>36023</v>
      </c>
      <c r="C9" s="35" t="n">
        <v>64396235</v>
      </c>
      <c r="D9" s="35" t="n">
        <v>48623284</v>
      </c>
      <c r="E9" s="35" t="n">
        <v>14659190</v>
      </c>
      <c r="F9" s="26" t="n">
        <v>32.58</v>
      </c>
      <c r="G9" s="35" t="n">
        <v>15772951</v>
      </c>
      <c r="H9" s="27" t="s">
        <v>45</v>
      </c>
      <c r="I9" s="1"/>
      <c r="J9" s="1"/>
      <c r="K9" s="23" t="s">
        <v>46</v>
      </c>
      <c r="L9" s="23" t="n">
        <v>48.62</v>
      </c>
      <c r="M9" s="23" t="n">
        <v>14.66</v>
      </c>
      <c r="N9" s="1"/>
      <c r="O9" s="1"/>
      <c r="P9" s="1"/>
      <c r="Q9" s="1"/>
      <c r="R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21" t="s">
        <v>34</v>
      </c>
      <c r="L14" s="21" t="s">
        <v>32</v>
      </c>
      <c r="M14" s="1"/>
      <c r="N14" s="1"/>
      <c r="O14" s="1"/>
      <c r="P14" s="1"/>
      <c r="Q14" s="1"/>
      <c r="R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23" t="s">
        <v>37</v>
      </c>
      <c r="L15" s="23" t="n">
        <v>54.11</v>
      </c>
      <c r="M15" s="1"/>
      <c r="N15" s="1"/>
      <c r="O15" s="1"/>
      <c r="P15" s="1"/>
      <c r="Q15" s="1"/>
      <c r="R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23" t="s">
        <v>40</v>
      </c>
      <c r="L16" s="23" t="n">
        <v>51.05</v>
      </c>
      <c r="M16" s="1"/>
      <c r="N16" s="1"/>
      <c r="O16" s="1"/>
      <c r="P16" s="1"/>
      <c r="Q16" s="1"/>
      <c r="R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23" t="s">
        <v>43</v>
      </c>
      <c r="L17" s="23" t="n">
        <v>46.66</v>
      </c>
      <c r="M17" s="1"/>
      <c r="N17" s="1"/>
      <c r="O17" s="1"/>
      <c r="P17" s="1"/>
      <c r="Q17" s="1"/>
      <c r="R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23" t="s">
        <v>46</v>
      </c>
      <c r="L18" s="23" t="n">
        <v>32.58</v>
      </c>
      <c r="M18" s="1"/>
      <c r="N18" s="1"/>
      <c r="O18" s="1"/>
      <c r="P18" s="1"/>
      <c r="Q18" s="1"/>
      <c r="R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</sheetData>
  <mergeCells count="2">
    <mergeCell ref="A1:N1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P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4" min="3" style="0" width="11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19.5" hidden="false" customHeight="true" outlineLevel="0" collapsed="false">
      <c r="A1" s="28" t="s">
        <v>142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1"/>
      <c r="N1" s="1"/>
      <c r="O1" s="1"/>
      <c r="P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9.5" hidden="false" customHeight="true" outlineLevel="0" collapsed="false">
      <c r="A3" s="20" t="s">
        <v>143</v>
      </c>
      <c r="B3" s="20"/>
      <c r="C3" s="20"/>
      <c r="D3" s="20"/>
      <c r="E3" s="20"/>
      <c r="F3" s="20"/>
      <c r="G3" s="20"/>
      <c r="H3" s="20"/>
      <c r="I3" s="20"/>
      <c r="J3" s="1"/>
      <c r="K3" s="1"/>
      <c r="L3" s="1"/>
      <c r="M3" s="1"/>
      <c r="N3" s="1"/>
      <c r="O3" s="1"/>
      <c r="P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2.35" hidden="false" customHeight="false" outlineLevel="0" collapsed="false">
      <c r="A5" s="21" t="s">
        <v>64</v>
      </c>
      <c r="B5" s="21" t="s">
        <v>144</v>
      </c>
      <c r="C5" s="21" t="s">
        <v>145</v>
      </c>
      <c r="D5" s="21" t="s">
        <v>48</v>
      </c>
      <c r="E5" s="21" t="s">
        <v>146</v>
      </c>
      <c r="F5" s="21" t="s">
        <v>147</v>
      </c>
      <c r="G5" s="21" t="s">
        <v>133</v>
      </c>
      <c r="H5" s="21" t="s">
        <v>28</v>
      </c>
      <c r="I5" s="21" t="s">
        <v>148</v>
      </c>
      <c r="J5" s="1"/>
      <c r="K5" s="21" t="s">
        <v>149</v>
      </c>
      <c r="L5" s="21" t="s">
        <v>133</v>
      </c>
      <c r="M5" s="1"/>
      <c r="N5" s="1"/>
      <c r="O5" s="1"/>
      <c r="P5" s="1"/>
    </row>
    <row r="6" customFormat="false" ht="22.35" hidden="false" customHeight="false" outlineLevel="0" collapsed="false">
      <c r="A6" s="30" t="n">
        <v>1</v>
      </c>
      <c r="B6" s="23" t="s">
        <v>150</v>
      </c>
      <c r="C6" s="23" t="s">
        <v>151</v>
      </c>
      <c r="D6" s="23" t="s">
        <v>55</v>
      </c>
      <c r="E6" s="23" t="s">
        <v>152</v>
      </c>
      <c r="F6" s="34" t="n">
        <v>28172</v>
      </c>
      <c r="G6" s="34" t="n">
        <v>13994</v>
      </c>
      <c r="H6" s="23" t="n">
        <v>13</v>
      </c>
      <c r="I6" s="34" t="n">
        <v>28172</v>
      </c>
      <c r="J6" s="1"/>
      <c r="K6" s="23" t="s">
        <v>153</v>
      </c>
      <c r="L6" s="23" t="n">
        <v>13994</v>
      </c>
      <c r="M6" s="1"/>
      <c r="N6" s="1"/>
      <c r="O6" s="1"/>
      <c r="P6" s="1"/>
    </row>
    <row r="7" customFormat="false" ht="22.35" hidden="false" customHeight="false" outlineLevel="0" collapsed="false">
      <c r="A7" s="32" t="n">
        <v>2</v>
      </c>
      <c r="B7" s="26" t="s">
        <v>154</v>
      </c>
      <c r="C7" s="26" t="s">
        <v>155</v>
      </c>
      <c r="D7" s="26" t="s">
        <v>14</v>
      </c>
      <c r="E7" s="26" t="s">
        <v>152</v>
      </c>
      <c r="F7" s="35" t="n">
        <v>28503</v>
      </c>
      <c r="G7" s="35" t="n">
        <v>12782</v>
      </c>
      <c r="H7" s="26" t="n">
        <v>12</v>
      </c>
      <c r="I7" s="35" t="n">
        <v>29158</v>
      </c>
      <c r="J7" s="1"/>
      <c r="K7" s="23" t="s">
        <v>156</v>
      </c>
      <c r="L7" s="23" t="n">
        <v>12782</v>
      </c>
      <c r="M7" s="1"/>
      <c r="N7" s="1"/>
      <c r="O7" s="1"/>
      <c r="P7" s="1"/>
    </row>
    <row r="8" customFormat="false" ht="22.35" hidden="false" customHeight="false" outlineLevel="0" collapsed="false">
      <c r="A8" s="30" t="n">
        <v>3</v>
      </c>
      <c r="B8" s="23" t="s">
        <v>157</v>
      </c>
      <c r="C8" s="23" t="s">
        <v>158</v>
      </c>
      <c r="D8" s="23" t="s">
        <v>14</v>
      </c>
      <c r="E8" s="23" t="s">
        <v>152</v>
      </c>
      <c r="F8" s="34" t="n">
        <v>26777</v>
      </c>
      <c r="G8" s="34" t="n">
        <v>12663</v>
      </c>
      <c r="H8" s="23" t="n">
        <v>9</v>
      </c>
      <c r="I8" s="34" t="n">
        <v>26777</v>
      </c>
      <c r="J8" s="1"/>
      <c r="K8" s="23" t="s">
        <v>159</v>
      </c>
      <c r="L8" s="23" t="n">
        <v>12663</v>
      </c>
      <c r="M8" s="1"/>
      <c r="N8" s="1"/>
      <c r="O8" s="1"/>
      <c r="P8" s="1"/>
    </row>
    <row r="9" customFormat="false" ht="22.35" hidden="false" customHeight="false" outlineLevel="0" collapsed="false">
      <c r="A9" s="32" t="n">
        <v>4</v>
      </c>
      <c r="B9" s="26" t="s">
        <v>160</v>
      </c>
      <c r="C9" s="26" t="s">
        <v>161</v>
      </c>
      <c r="D9" s="26" t="s">
        <v>59</v>
      </c>
      <c r="E9" s="26" t="s">
        <v>152</v>
      </c>
      <c r="F9" s="35" t="n">
        <v>28093</v>
      </c>
      <c r="G9" s="35" t="n">
        <v>12398</v>
      </c>
      <c r="H9" s="26" t="n">
        <v>14</v>
      </c>
      <c r="I9" s="35" t="n">
        <v>28093</v>
      </c>
      <c r="J9" s="1"/>
      <c r="K9" s="23" t="s">
        <v>162</v>
      </c>
      <c r="L9" s="23" t="n">
        <v>12398</v>
      </c>
      <c r="M9" s="1"/>
      <c r="N9" s="1"/>
      <c r="O9" s="1"/>
      <c r="P9" s="1"/>
    </row>
    <row r="10" customFormat="false" ht="22.35" hidden="false" customHeight="false" outlineLevel="0" collapsed="false">
      <c r="A10" s="30" t="n">
        <v>5</v>
      </c>
      <c r="B10" s="23" t="s">
        <v>163</v>
      </c>
      <c r="C10" s="23" t="s">
        <v>164</v>
      </c>
      <c r="D10" s="23" t="s">
        <v>59</v>
      </c>
      <c r="E10" s="23" t="s">
        <v>152</v>
      </c>
      <c r="F10" s="34" t="n">
        <v>24479</v>
      </c>
      <c r="G10" s="34" t="n">
        <v>12101</v>
      </c>
      <c r="H10" s="23" t="n">
        <v>12</v>
      </c>
      <c r="I10" s="34" t="n">
        <v>27823</v>
      </c>
      <c r="J10" s="1"/>
      <c r="K10" s="23" t="s">
        <v>165</v>
      </c>
      <c r="L10" s="23" t="n">
        <v>12101</v>
      </c>
      <c r="M10" s="1"/>
      <c r="N10" s="1"/>
      <c r="O10" s="1"/>
      <c r="P10" s="1"/>
    </row>
    <row r="11" customFormat="false" ht="22.35" hidden="false" customHeight="false" outlineLevel="0" collapsed="false">
      <c r="A11" s="32" t="n">
        <v>6</v>
      </c>
      <c r="B11" s="26" t="s">
        <v>166</v>
      </c>
      <c r="C11" s="26" t="s">
        <v>167</v>
      </c>
      <c r="D11" s="26" t="s">
        <v>14</v>
      </c>
      <c r="E11" s="26" t="s">
        <v>152</v>
      </c>
      <c r="F11" s="35" t="n">
        <v>25691</v>
      </c>
      <c r="G11" s="35" t="n">
        <v>12087</v>
      </c>
      <c r="H11" s="26" t="n">
        <v>10</v>
      </c>
      <c r="I11" s="35" t="n">
        <v>28001</v>
      </c>
      <c r="J11" s="1"/>
      <c r="K11" s="23" t="s">
        <v>168</v>
      </c>
      <c r="L11" s="23" t="n">
        <v>12087</v>
      </c>
      <c r="M11" s="1"/>
      <c r="N11" s="1"/>
      <c r="O11" s="1"/>
      <c r="P11" s="1"/>
    </row>
    <row r="12" customFormat="false" ht="22.35" hidden="false" customHeight="false" outlineLevel="0" collapsed="false">
      <c r="A12" s="30" t="n">
        <v>7</v>
      </c>
      <c r="B12" s="23" t="s">
        <v>169</v>
      </c>
      <c r="C12" s="23" t="s">
        <v>170</v>
      </c>
      <c r="D12" s="23" t="s">
        <v>55</v>
      </c>
      <c r="E12" s="23" t="s">
        <v>152</v>
      </c>
      <c r="F12" s="34" t="n">
        <v>24073</v>
      </c>
      <c r="G12" s="34" t="n">
        <v>12025</v>
      </c>
      <c r="H12" s="23" t="n">
        <v>10</v>
      </c>
      <c r="I12" s="34" t="n">
        <v>24073</v>
      </c>
      <c r="J12" s="1"/>
      <c r="K12" s="23" t="s">
        <v>171</v>
      </c>
      <c r="L12" s="23" t="n">
        <v>12025</v>
      </c>
      <c r="M12" s="1"/>
      <c r="N12" s="1"/>
      <c r="O12" s="1"/>
      <c r="P12" s="1"/>
    </row>
    <row r="13" customFormat="false" ht="22.35" hidden="false" customHeight="false" outlineLevel="0" collapsed="false">
      <c r="A13" s="32" t="n">
        <v>8</v>
      </c>
      <c r="B13" s="26" t="s">
        <v>172</v>
      </c>
      <c r="C13" s="26" t="s">
        <v>173</v>
      </c>
      <c r="D13" s="26" t="s">
        <v>55</v>
      </c>
      <c r="E13" s="26" t="s">
        <v>152</v>
      </c>
      <c r="F13" s="35" t="n">
        <v>22238</v>
      </c>
      <c r="G13" s="35" t="n">
        <v>11933</v>
      </c>
      <c r="H13" s="26" t="n">
        <v>7</v>
      </c>
      <c r="I13" s="35" t="n">
        <v>22376</v>
      </c>
      <c r="J13" s="1"/>
      <c r="K13" s="23" t="s">
        <v>174</v>
      </c>
      <c r="L13" s="23" t="n">
        <v>11933</v>
      </c>
      <c r="M13" s="1"/>
      <c r="N13" s="1"/>
      <c r="O13" s="1"/>
      <c r="P13" s="1"/>
    </row>
    <row r="14" customFormat="false" ht="22.35" hidden="false" customHeight="false" outlineLevel="0" collapsed="false">
      <c r="A14" s="30" t="n">
        <v>9</v>
      </c>
      <c r="B14" s="23" t="s">
        <v>175</v>
      </c>
      <c r="C14" s="23" t="s">
        <v>176</v>
      </c>
      <c r="D14" s="23" t="s">
        <v>55</v>
      </c>
      <c r="E14" s="23" t="s">
        <v>152</v>
      </c>
      <c r="F14" s="34" t="n">
        <v>25158</v>
      </c>
      <c r="G14" s="34" t="n">
        <v>11931</v>
      </c>
      <c r="H14" s="23" t="n">
        <v>12</v>
      </c>
      <c r="I14" s="34" t="n">
        <v>25158</v>
      </c>
      <c r="J14" s="1"/>
      <c r="K14" s="23" t="s">
        <v>177</v>
      </c>
      <c r="L14" s="23" t="n">
        <v>11931</v>
      </c>
      <c r="M14" s="1"/>
      <c r="N14" s="1"/>
      <c r="O14" s="1"/>
      <c r="P14" s="1"/>
    </row>
    <row r="15" customFormat="false" ht="22.35" hidden="false" customHeight="false" outlineLevel="0" collapsed="false">
      <c r="A15" s="32" t="n">
        <v>10</v>
      </c>
      <c r="B15" s="26" t="s">
        <v>178</v>
      </c>
      <c r="C15" s="26" t="s">
        <v>179</v>
      </c>
      <c r="D15" s="26" t="s">
        <v>14</v>
      </c>
      <c r="E15" s="26" t="s">
        <v>152</v>
      </c>
      <c r="F15" s="35" t="n">
        <v>30268</v>
      </c>
      <c r="G15" s="35" t="n">
        <v>11819</v>
      </c>
      <c r="H15" s="26" t="n">
        <v>15</v>
      </c>
      <c r="I15" s="35" t="n">
        <v>30268</v>
      </c>
      <c r="J15" s="1"/>
      <c r="K15" s="23" t="s">
        <v>180</v>
      </c>
      <c r="L15" s="23" t="n">
        <v>11819</v>
      </c>
      <c r="M15" s="1"/>
      <c r="N15" s="1"/>
      <c r="O15" s="1"/>
      <c r="P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customFormat="false" ht="19.5" hidden="false" customHeight="true" outlineLevel="0" collapsed="false">
      <c r="A19" s="29" t="s">
        <v>181</v>
      </c>
      <c r="B19" s="29"/>
      <c r="C19" s="29"/>
      <c r="D19" s="29"/>
      <c r="E19" s="29"/>
      <c r="F19" s="29"/>
      <c r="G19" s="29"/>
      <c r="H19" s="29"/>
      <c r="I19" s="29"/>
      <c r="J19" s="1"/>
      <c r="K19" s="1"/>
      <c r="L19" s="1"/>
      <c r="M19" s="1"/>
      <c r="N19" s="1"/>
      <c r="O19" s="1"/>
      <c r="P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customFormat="false" ht="15" hidden="false" customHeight="false" outlineLevel="0" collapsed="false">
      <c r="A21" s="21" t="s">
        <v>48</v>
      </c>
      <c r="B21" s="21" t="s">
        <v>28</v>
      </c>
      <c r="C21" s="21" t="s">
        <v>49</v>
      </c>
      <c r="D21" s="21" t="s">
        <v>50</v>
      </c>
      <c r="E21" s="21" t="s">
        <v>51</v>
      </c>
      <c r="F21" s="21" t="s">
        <v>52</v>
      </c>
      <c r="G21" s="21" t="s">
        <v>182</v>
      </c>
      <c r="H21" s="1"/>
      <c r="I21" s="1"/>
      <c r="J21" s="1"/>
      <c r="K21" s="1"/>
      <c r="L21" s="1"/>
      <c r="M21" s="1"/>
      <c r="N21" s="1"/>
      <c r="O21" s="1"/>
      <c r="P21" s="1"/>
    </row>
    <row r="22" customFormat="false" ht="22.35" hidden="false" customHeight="false" outlineLevel="0" collapsed="false">
      <c r="A22" s="23" t="s">
        <v>14</v>
      </c>
      <c r="B22" s="23" t="n">
        <v>75636</v>
      </c>
      <c r="C22" s="23" t="n">
        <v>15.55</v>
      </c>
      <c r="D22" s="23" t="n">
        <v>1.86</v>
      </c>
      <c r="E22" s="23" t="n">
        <v>5175</v>
      </c>
      <c r="F22" s="23" t="n">
        <v>6.84</v>
      </c>
      <c r="G22" s="22" t="s">
        <v>183</v>
      </c>
      <c r="H22" s="1"/>
      <c r="I22" s="1"/>
      <c r="J22" s="1"/>
      <c r="K22" s="1"/>
      <c r="L22" s="1"/>
      <c r="M22" s="1"/>
      <c r="N22" s="1"/>
      <c r="O22" s="1"/>
      <c r="P22" s="1"/>
    </row>
    <row r="23" customFormat="false" ht="22.35" hidden="false" customHeight="false" outlineLevel="0" collapsed="false">
      <c r="A23" s="26" t="s">
        <v>55</v>
      </c>
      <c r="B23" s="26" t="n">
        <v>34746</v>
      </c>
      <c r="C23" s="26" t="n">
        <v>20.23</v>
      </c>
      <c r="D23" s="26" t="n">
        <v>1.21</v>
      </c>
      <c r="E23" s="26" t="n">
        <v>2381</v>
      </c>
      <c r="F23" s="26" t="n">
        <v>6.85</v>
      </c>
      <c r="G23" s="25" t="s">
        <v>184</v>
      </c>
      <c r="H23" s="1"/>
      <c r="I23" s="1"/>
      <c r="J23" s="1"/>
      <c r="K23" s="1"/>
      <c r="L23" s="1"/>
      <c r="M23" s="1"/>
      <c r="N23" s="1"/>
      <c r="O23" s="1"/>
      <c r="P23" s="1"/>
    </row>
    <row r="24" customFormat="false" ht="22.35" hidden="false" customHeight="false" outlineLevel="0" collapsed="false">
      <c r="A24" s="23" t="s">
        <v>57</v>
      </c>
      <c r="B24" s="23" t="n">
        <v>13957</v>
      </c>
      <c r="C24" s="23" t="n">
        <v>20.2</v>
      </c>
      <c r="D24" s="23" t="n">
        <v>1.2</v>
      </c>
      <c r="E24" s="23" t="n">
        <v>934</v>
      </c>
      <c r="F24" s="23" t="n">
        <v>6.69</v>
      </c>
      <c r="G24" s="22" t="s">
        <v>185</v>
      </c>
      <c r="H24" s="1"/>
      <c r="I24" s="1"/>
      <c r="J24" s="1"/>
      <c r="K24" s="1"/>
      <c r="L24" s="1"/>
      <c r="M24" s="1"/>
      <c r="N24" s="1"/>
      <c r="O24" s="1"/>
      <c r="P24" s="1"/>
    </row>
    <row r="25" customFormat="false" ht="22.35" hidden="false" customHeight="false" outlineLevel="0" collapsed="false">
      <c r="A25" s="26" t="s">
        <v>59</v>
      </c>
      <c r="B25" s="26" t="n">
        <v>13777</v>
      </c>
      <c r="C25" s="26" t="n">
        <v>15.78</v>
      </c>
      <c r="D25" s="26" t="n">
        <v>1.84</v>
      </c>
      <c r="E25" s="26" t="n">
        <v>972</v>
      </c>
      <c r="F25" s="26" t="n">
        <v>7.06</v>
      </c>
      <c r="G25" s="25" t="s">
        <v>186</v>
      </c>
      <c r="H25" s="1"/>
      <c r="I25" s="1"/>
      <c r="J25" s="1"/>
      <c r="K25" s="1"/>
      <c r="L25" s="1"/>
      <c r="M25" s="1"/>
      <c r="N25" s="1"/>
      <c r="O25" s="1"/>
      <c r="P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3">
    <mergeCell ref="A1:L1"/>
    <mergeCell ref="A3:I3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A261"/>
    <pageSetUpPr fitToPage="false"/>
  </sheetPr>
  <dimension ref="A1:R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1" min="10" style="0" width="10"/>
    <col collapsed="false" customWidth="true" hidden="false" outlineLevel="0" max="12" min="12" style="0" width="28"/>
  </cols>
  <sheetData>
    <row r="1" customFormat="false" ht="19.5" hidden="false" customHeight="true" outlineLevel="0" collapsed="false">
      <c r="A1" s="28" t="s">
        <v>187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1"/>
      <c r="P1" s="1"/>
      <c r="Q1" s="1"/>
      <c r="R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9.5" hidden="false" customHeight="true" outlineLevel="0" collapsed="false">
      <c r="A3" s="20" t="s">
        <v>188</v>
      </c>
      <c r="B3" s="20"/>
      <c r="C3" s="20"/>
      <c r="D3" s="20"/>
      <c r="E3" s="20"/>
      <c r="F3" s="2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15" hidden="false" customHeight="false" outlineLevel="0" collapsed="false">
      <c r="A5" s="21" t="s">
        <v>189</v>
      </c>
      <c r="B5" s="21" t="s">
        <v>190</v>
      </c>
      <c r="C5" s="21" t="s">
        <v>28</v>
      </c>
      <c r="D5" s="21" t="s">
        <v>191</v>
      </c>
      <c r="E5" s="21" t="s">
        <v>192</v>
      </c>
      <c r="F5" s="21" t="s">
        <v>32</v>
      </c>
      <c r="G5" s="1"/>
      <c r="H5" s="21" t="s">
        <v>189</v>
      </c>
      <c r="I5" s="21" t="s">
        <v>193</v>
      </c>
      <c r="J5" s="1"/>
      <c r="K5" s="1"/>
      <c r="L5" s="1"/>
      <c r="M5" s="1"/>
      <c r="N5" s="1"/>
      <c r="O5" s="1"/>
      <c r="P5" s="1"/>
      <c r="Q5" s="1"/>
      <c r="R5" s="1"/>
    </row>
    <row r="6" customFormat="false" ht="22.35" hidden="false" customHeight="false" outlineLevel="0" collapsed="false">
      <c r="A6" s="23" t="s">
        <v>194</v>
      </c>
      <c r="B6" s="23" t="s">
        <v>15</v>
      </c>
      <c r="C6" s="23" t="n">
        <v>8930</v>
      </c>
      <c r="D6" s="34" t="n">
        <v>11338477</v>
      </c>
      <c r="E6" s="36" t="n">
        <v>8770.09</v>
      </c>
      <c r="F6" s="23" t="n">
        <v>44.06</v>
      </c>
      <c r="G6" s="1"/>
      <c r="H6" s="23" t="s">
        <v>194</v>
      </c>
      <c r="I6" s="23" t="n">
        <v>35.66</v>
      </c>
      <c r="J6" s="1"/>
      <c r="K6" s="1"/>
      <c r="L6" s="1"/>
      <c r="M6" s="1"/>
      <c r="N6" s="1"/>
      <c r="O6" s="1"/>
      <c r="P6" s="1"/>
      <c r="Q6" s="1"/>
      <c r="R6" s="1"/>
    </row>
    <row r="7" customFormat="false" ht="22.35" hidden="false" customHeight="false" outlineLevel="0" collapsed="false">
      <c r="A7" s="26" t="s">
        <v>195</v>
      </c>
      <c r="B7" s="26" t="s">
        <v>15</v>
      </c>
      <c r="C7" s="26" t="n">
        <v>6533</v>
      </c>
      <c r="D7" s="35" t="n">
        <v>8206109</v>
      </c>
      <c r="E7" s="37" t="n">
        <v>8777.25</v>
      </c>
      <c r="F7" s="26" t="n">
        <v>43.95</v>
      </c>
      <c r="G7" s="1"/>
      <c r="H7" s="23" t="s">
        <v>195</v>
      </c>
      <c r="I7" s="23" t="n">
        <v>26.54</v>
      </c>
      <c r="J7" s="1"/>
      <c r="K7" s="1"/>
      <c r="L7" s="1"/>
      <c r="M7" s="1"/>
      <c r="N7" s="1"/>
      <c r="O7" s="1"/>
      <c r="P7" s="1"/>
      <c r="Q7" s="1"/>
      <c r="R7" s="1"/>
    </row>
    <row r="8" customFormat="false" ht="15" hidden="false" customHeight="false" outlineLevel="0" collapsed="false">
      <c r="A8" s="23" t="s">
        <v>196</v>
      </c>
      <c r="B8" s="23" t="s">
        <v>15</v>
      </c>
      <c r="C8" s="23" t="n">
        <v>6518</v>
      </c>
      <c r="D8" s="34" t="n">
        <v>8180899</v>
      </c>
      <c r="E8" s="36" t="n">
        <v>8833.67</v>
      </c>
      <c r="F8" s="23" t="n">
        <v>44.16</v>
      </c>
      <c r="G8" s="1"/>
      <c r="H8" s="23" t="s">
        <v>196</v>
      </c>
      <c r="I8" s="23" t="n">
        <v>26.12</v>
      </c>
      <c r="J8" s="1"/>
      <c r="K8" s="1"/>
      <c r="L8" s="1"/>
      <c r="M8" s="1"/>
      <c r="N8" s="1"/>
      <c r="O8" s="1"/>
      <c r="P8" s="1"/>
      <c r="Q8" s="1"/>
      <c r="R8" s="1"/>
    </row>
    <row r="9" customFormat="false" ht="22.35" hidden="false" customHeight="false" outlineLevel="0" collapsed="false">
      <c r="A9" s="26" t="s">
        <v>194</v>
      </c>
      <c r="B9" s="26" t="s">
        <v>197</v>
      </c>
      <c r="C9" s="26" t="n">
        <v>5900</v>
      </c>
      <c r="D9" s="35" t="n">
        <v>7326819</v>
      </c>
      <c r="E9" s="37" t="n">
        <v>8943.66</v>
      </c>
      <c r="F9" s="26" t="n">
        <v>44.09</v>
      </c>
      <c r="G9" s="1"/>
      <c r="H9" s="23" t="s">
        <v>198</v>
      </c>
      <c r="I9" s="23" t="n">
        <v>21.37</v>
      </c>
      <c r="J9" s="1"/>
      <c r="K9" s="1"/>
      <c r="L9" s="1"/>
      <c r="M9" s="1"/>
      <c r="N9" s="1"/>
      <c r="O9" s="1"/>
      <c r="P9" s="1"/>
      <c r="Q9" s="1"/>
      <c r="R9" s="1"/>
    </row>
    <row r="10" customFormat="false" ht="15" hidden="false" customHeight="false" outlineLevel="0" collapsed="false">
      <c r="A10" s="23" t="s">
        <v>194</v>
      </c>
      <c r="B10" s="23" t="s">
        <v>199</v>
      </c>
      <c r="C10" s="23" t="n">
        <v>5162</v>
      </c>
      <c r="D10" s="34" t="n">
        <v>6841010</v>
      </c>
      <c r="E10" s="36" t="n">
        <v>9231.5</v>
      </c>
      <c r="F10" s="23" t="n">
        <v>47.07</v>
      </c>
      <c r="G10" s="1"/>
      <c r="H10" s="23" t="s">
        <v>200</v>
      </c>
      <c r="I10" s="23" t="n">
        <v>17.68</v>
      </c>
      <c r="J10" s="1"/>
      <c r="K10" s="1"/>
      <c r="L10" s="1"/>
      <c r="M10" s="1"/>
      <c r="N10" s="1"/>
      <c r="O10" s="1"/>
      <c r="P10" s="1"/>
      <c r="Q10" s="1"/>
      <c r="R10" s="1"/>
    </row>
    <row r="11" customFormat="false" ht="15" hidden="false" customHeight="false" outlineLevel="0" collapsed="false">
      <c r="A11" s="26" t="s">
        <v>198</v>
      </c>
      <c r="B11" s="26" t="s">
        <v>15</v>
      </c>
      <c r="C11" s="26" t="n">
        <v>5292</v>
      </c>
      <c r="D11" s="35" t="n">
        <v>6784075</v>
      </c>
      <c r="E11" s="37" t="n">
        <v>8807.33</v>
      </c>
      <c r="F11" s="26" t="n">
        <v>43.88</v>
      </c>
      <c r="G11" s="1"/>
      <c r="H11" s="23" t="s">
        <v>201</v>
      </c>
      <c r="I11" s="23" t="n">
        <v>14.42</v>
      </c>
      <c r="J11" s="1"/>
      <c r="K11" s="1"/>
      <c r="L11" s="1"/>
      <c r="M11" s="1"/>
      <c r="N11" s="1"/>
      <c r="O11" s="1"/>
      <c r="P11" s="1"/>
      <c r="Q11" s="1"/>
      <c r="R11" s="1"/>
    </row>
    <row r="12" customFormat="false" ht="15" hidden="false" customHeight="false" outlineLevel="0" collapsed="false">
      <c r="A12" s="23" t="s">
        <v>196</v>
      </c>
      <c r="B12" s="23" t="s">
        <v>197</v>
      </c>
      <c r="C12" s="23" t="n">
        <v>4412</v>
      </c>
      <c r="D12" s="34" t="n">
        <v>5606237</v>
      </c>
      <c r="E12" s="36" t="n">
        <v>8898.8</v>
      </c>
      <c r="F12" s="23" t="n">
        <v>44.05</v>
      </c>
      <c r="G12" s="1"/>
      <c r="H12" s="23" t="s">
        <v>202</v>
      </c>
      <c r="I12" s="23" t="n">
        <v>12.34</v>
      </c>
      <c r="J12" s="1"/>
      <c r="K12" s="1"/>
      <c r="L12" s="1"/>
      <c r="M12" s="1"/>
      <c r="N12" s="1"/>
      <c r="O12" s="1"/>
      <c r="P12" s="1"/>
      <c r="Q12" s="1"/>
      <c r="R12" s="1"/>
    </row>
    <row r="13" customFormat="false" ht="15" hidden="false" customHeight="false" outlineLevel="0" collapsed="false">
      <c r="A13" s="26" t="s">
        <v>195</v>
      </c>
      <c r="B13" s="26" t="s">
        <v>197</v>
      </c>
      <c r="C13" s="26" t="n">
        <v>4387</v>
      </c>
      <c r="D13" s="35" t="n">
        <v>5589243</v>
      </c>
      <c r="E13" s="37" t="n">
        <v>8790.85</v>
      </c>
      <c r="F13" s="26" t="n">
        <v>44.02</v>
      </c>
      <c r="G13" s="1"/>
      <c r="H13" s="23" t="s">
        <v>203</v>
      </c>
      <c r="I13" s="23" t="n">
        <v>8.83</v>
      </c>
      <c r="J13" s="1"/>
      <c r="K13" s="1"/>
      <c r="L13" s="1"/>
      <c r="M13" s="1"/>
      <c r="N13" s="1"/>
      <c r="O13" s="1"/>
      <c r="P13" s="1"/>
      <c r="Q13" s="1"/>
      <c r="R13" s="1"/>
    </row>
    <row r="14" customFormat="false" ht="15" hidden="false" customHeight="false" outlineLevel="0" collapsed="false">
      <c r="A14" s="23" t="s">
        <v>194</v>
      </c>
      <c r="B14" s="23" t="s">
        <v>204</v>
      </c>
      <c r="C14" s="23" t="n">
        <v>4344</v>
      </c>
      <c r="D14" s="34" t="n">
        <v>5473132</v>
      </c>
      <c r="E14" s="36" t="n">
        <v>8798.15</v>
      </c>
      <c r="F14" s="23" t="n">
        <v>43.64</v>
      </c>
      <c r="G14" s="1"/>
      <c r="H14" s="23" t="s">
        <v>205</v>
      </c>
      <c r="I14" s="23" t="n">
        <v>7.98</v>
      </c>
      <c r="J14" s="1"/>
      <c r="K14" s="1"/>
      <c r="L14" s="1"/>
      <c r="M14" s="1"/>
      <c r="N14" s="1"/>
      <c r="O14" s="1"/>
      <c r="P14" s="1"/>
      <c r="Q14" s="1"/>
      <c r="R14" s="1"/>
    </row>
    <row r="15" customFormat="false" ht="15" hidden="false" customHeight="false" outlineLevel="0" collapsed="false">
      <c r="A15" s="26" t="s">
        <v>200</v>
      </c>
      <c r="B15" s="26" t="s">
        <v>15</v>
      </c>
      <c r="C15" s="26" t="n">
        <v>4445</v>
      </c>
      <c r="D15" s="35" t="n">
        <v>5452157</v>
      </c>
      <c r="E15" s="37" t="n">
        <v>8742.58</v>
      </c>
      <c r="F15" s="26" t="n">
        <v>44.32</v>
      </c>
      <c r="G15" s="1"/>
      <c r="H15" s="23" t="s">
        <v>206</v>
      </c>
      <c r="I15" s="23" t="n">
        <v>5.2</v>
      </c>
      <c r="J15" s="1"/>
      <c r="K15" s="1"/>
      <c r="L15" s="1"/>
      <c r="M15" s="1"/>
      <c r="N15" s="1"/>
      <c r="O15" s="1"/>
      <c r="P15" s="1"/>
      <c r="Q15" s="1"/>
      <c r="R15" s="1"/>
    </row>
    <row r="16" customFormat="false" ht="15" hidden="false" customHeight="false" outlineLevel="0" collapsed="false">
      <c r="A16" s="38" t="s">
        <v>206</v>
      </c>
      <c r="B16" s="38" t="s">
        <v>207</v>
      </c>
      <c r="C16" s="38" t="n">
        <v>487</v>
      </c>
      <c r="D16" s="39" t="n">
        <v>664971</v>
      </c>
      <c r="E16" s="40" t="n">
        <v>9314.07</v>
      </c>
      <c r="F16" s="38" t="n">
        <v>49.12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customFormat="false" ht="15" hidden="false" customHeight="false" outlineLevel="0" collapsed="false">
      <c r="A17" s="41" t="s">
        <v>196</v>
      </c>
      <c r="B17" s="41" t="s">
        <v>207</v>
      </c>
      <c r="C17" s="41" t="n">
        <v>2464</v>
      </c>
      <c r="D17" s="42" t="n">
        <v>3256313</v>
      </c>
      <c r="E17" s="43" t="n">
        <v>9477.82</v>
      </c>
      <c r="F17" s="41" t="n">
        <v>48.53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customFormat="false" ht="15" hidden="false" customHeight="false" outlineLevel="0" collapsed="false">
      <c r="A18" s="38" t="s">
        <v>202</v>
      </c>
      <c r="B18" s="38" t="s">
        <v>207</v>
      </c>
      <c r="C18" s="38" t="n">
        <v>1335</v>
      </c>
      <c r="D18" s="39" t="n">
        <v>1828671</v>
      </c>
      <c r="E18" s="40" t="n">
        <v>9299.58</v>
      </c>
      <c r="F18" s="38" t="n">
        <v>48.33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customFormat="false" ht="19.5" hidden="false" customHeight="true" outlineLevel="0" collapsed="false">
      <c r="A20" s="1"/>
      <c r="B20" s="1"/>
      <c r="C20" s="1"/>
      <c r="D20" s="1"/>
      <c r="E20" s="1"/>
      <c r="F20" s="1"/>
      <c r="G20" s="1"/>
      <c r="H20" s="29" t="s">
        <v>208</v>
      </c>
      <c r="I20" s="29"/>
      <c r="J20" s="29"/>
      <c r="K20" s="29"/>
      <c r="L20" s="29"/>
      <c r="M20" s="29"/>
      <c r="N20" s="29"/>
      <c r="O20" s="1"/>
      <c r="P20" s="1"/>
      <c r="Q20" s="1"/>
      <c r="R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21" t="s">
        <v>190</v>
      </c>
      <c r="I22" s="21" t="s">
        <v>209</v>
      </c>
      <c r="J22" s="21" t="s">
        <v>32</v>
      </c>
      <c r="K22" s="21" t="s">
        <v>210</v>
      </c>
      <c r="L22" s="21" t="s">
        <v>108</v>
      </c>
      <c r="M22" s="1"/>
      <c r="N22" s="1"/>
      <c r="O22" s="1"/>
      <c r="P22" s="1"/>
      <c r="Q22" s="1"/>
      <c r="R22" s="1"/>
    </row>
    <row r="23" customFormat="false" ht="22.35" hidden="false" customHeight="false" outlineLevel="0" collapsed="false">
      <c r="A23" s="1"/>
      <c r="B23" s="1"/>
      <c r="C23" s="1"/>
      <c r="D23" s="1"/>
      <c r="E23" s="1"/>
      <c r="F23" s="1"/>
      <c r="G23" s="1"/>
      <c r="H23" s="23" t="s">
        <v>15</v>
      </c>
      <c r="I23" s="36" t="n">
        <v>44.07</v>
      </c>
      <c r="J23" s="36" t="n">
        <v>44.06</v>
      </c>
      <c r="K23" s="36" t="n">
        <v>8800</v>
      </c>
      <c r="L23" s="22" t="s">
        <v>211</v>
      </c>
      <c r="M23" s="1"/>
      <c r="N23" s="1"/>
      <c r="O23" s="1"/>
      <c r="P23" s="1"/>
      <c r="Q23" s="1"/>
      <c r="R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26" t="s">
        <v>197</v>
      </c>
      <c r="I24" s="37" t="n">
        <v>27.97</v>
      </c>
      <c r="J24" s="37" t="n">
        <v>44.09</v>
      </c>
      <c r="K24" s="37" t="n">
        <v>8900</v>
      </c>
      <c r="L24" s="25" t="s">
        <v>212</v>
      </c>
      <c r="M24" s="1"/>
      <c r="N24" s="1"/>
      <c r="O24" s="1"/>
      <c r="P24" s="1"/>
      <c r="Q24" s="1"/>
      <c r="R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23" t="s">
        <v>199</v>
      </c>
      <c r="I25" s="36" t="n">
        <v>26.79</v>
      </c>
      <c r="J25" s="36" t="n">
        <v>47.07</v>
      </c>
      <c r="K25" s="36" t="n">
        <v>9300</v>
      </c>
      <c r="L25" s="22" t="s">
        <v>213</v>
      </c>
      <c r="M25" s="1"/>
      <c r="N25" s="1"/>
      <c r="O25" s="1"/>
      <c r="P25" s="1"/>
      <c r="Q25" s="1"/>
      <c r="R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26" t="s">
        <v>204</v>
      </c>
      <c r="I26" s="37" t="n">
        <v>22.04</v>
      </c>
      <c r="J26" s="37" t="n">
        <v>43.64</v>
      </c>
      <c r="K26" s="37" t="n">
        <v>8860</v>
      </c>
      <c r="L26" s="25" t="s">
        <v>214</v>
      </c>
      <c r="M26" s="1"/>
      <c r="N26" s="1"/>
      <c r="O26" s="1"/>
      <c r="P26" s="1"/>
      <c r="Q26" s="1"/>
      <c r="R26" s="1"/>
    </row>
    <row r="27" customFormat="false" ht="22.35" hidden="false" customHeight="false" outlineLevel="0" collapsed="false">
      <c r="A27" s="1"/>
      <c r="B27" s="1"/>
      <c r="C27" s="1"/>
      <c r="D27" s="1"/>
      <c r="E27" s="1"/>
      <c r="F27" s="1"/>
      <c r="G27" s="1"/>
      <c r="H27" s="23" t="s">
        <v>207</v>
      </c>
      <c r="I27" s="36" t="n">
        <v>15.1</v>
      </c>
      <c r="J27" s="36" t="n">
        <v>48.17</v>
      </c>
      <c r="K27" s="36" t="n">
        <v>9350</v>
      </c>
      <c r="L27" s="44" t="s">
        <v>215</v>
      </c>
      <c r="M27" s="1"/>
      <c r="N27" s="1"/>
      <c r="O27" s="1"/>
      <c r="P27" s="1"/>
      <c r="Q27" s="1"/>
      <c r="R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21" t="s">
        <v>190</v>
      </c>
      <c r="I30" s="21" t="s">
        <v>216</v>
      </c>
      <c r="J30" s="21" t="s">
        <v>217</v>
      </c>
      <c r="K30" s="1"/>
      <c r="L30" s="1"/>
      <c r="M30" s="1"/>
      <c r="N30" s="1"/>
      <c r="O30" s="1"/>
      <c r="P30" s="1"/>
      <c r="Q30" s="1"/>
      <c r="R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23" t="s">
        <v>15</v>
      </c>
      <c r="I31" s="23" t="n">
        <v>44.07</v>
      </c>
      <c r="J31" s="23" t="n">
        <v>44.06</v>
      </c>
      <c r="K31" s="1"/>
      <c r="L31" s="1"/>
      <c r="M31" s="1"/>
      <c r="N31" s="1"/>
      <c r="O31" s="1"/>
      <c r="P31" s="1"/>
      <c r="Q31" s="1"/>
      <c r="R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23" t="s">
        <v>197</v>
      </c>
      <c r="I32" s="23" t="n">
        <v>27.97</v>
      </c>
      <c r="J32" s="23" t="n">
        <v>44.09</v>
      </c>
      <c r="K32" s="1"/>
      <c r="L32" s="1"/>
      <c r="M32" s="1"/>
      <c r="N32" s="1"/>
      <c r="O32" s="1"/>
      <c r="P32" s="1"/>
      <c r="Q32" s="1"/>
      <c r="R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23" t="s">
        <v>199</v>
      </c>
      <c r="I33" s="23" t="n">
        <v>26.79</v>
      </c>
      <c r="J33" s="23" t="n">
        <v>47.07</v>
      </c>
      <c r="K33" s="1"/>
      <c r="L33" s="1"/>
      <c r="M33" s="1"/>
      <c r="N33" s="1"/>
      <c r="O33" s="1"/>
      <c r="P33" s="1"/>
      <c r="Q33" s="1"/>
      <c r="R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23" t="s">
        <v>204</v>
      </c>
      <c r="I34" s="23" t="n">
        <v>22.04</v>
      </c>
      <c r="J34" s="23" t="n">
        <v>43.64</v>
      </c>
      <c r="K34" s="1"/>
      <c r="L34" s="1"/>
      <c r="M34" s="1"/>
      <c r="N34" s="1"/>
      <c r="O34" s="1"/>
      <c r="P34" s="1"/>
      <c r="Q34" s="1"/>
      <c r="R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23" t="s">
        <v>207</v>
      </c>
      <c r="I35" s="23" t="n">
        <v>15.1</v>
      </c>
      <c r="J35" s="23" t="n">
        <v>48.17</v>
      </c>
      <c r="K35" s="1"/>
      <c r="L35" s="1"/>
      <c r="M35" s="1"/>
      <c r="N35" s="1"/>
      <c r="O35" s="1"/>
      <c r="P35" s="1"/>
      <c r="Q35" s="1"/>
      <c r="R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</sheetData>
  <mergeCells count="3">
    <mergeCell ref="A1:N1"/>
    <mergeCell ref="A3:F3"/>
    <mergeCell ref="H20:N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A1:P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10" min="10" style="0" width="9"/>
    <col collapsed="false" customWidth="true" hidden="false" outlineLevel="0" max="11" min="11" style="0" width="10"/>
  </cols>
  <sheetData>
    <row r="1" customFormat="false" ht="19.5" hidden="false" customHeight="true" outlineLevel="0" collapsed="false">
      <c r="A1" s="28" t="s">
        <v>218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1"/>
      <c r="N1" s="1"/>
      <c r="O1" s="1"/>
      <c r="P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9.5" hidden="false" customHeight="true" outlineLevel="0" collapsed="false">
      <c r="A3" s="20" t="s">
        <v>219</v>
      </c>
      <c r="B3" s="20"/>
      <c r="C3" s="20"/>
      <c r="D3" s="20"/>
      <c r="E3" s="20"/>
      <c r="F3" s="20"/>
      <c r="G3" s="20"/>
      <c r="H3" s="20"/>
      <c r="I3" s="1"/>
      <c r="J3" s="1"/>
      <c r="K3" s="1"/>
      <c r="L3" s="1"/>
      <c r="M3" s="1"/>
      <c r="N3" s="1"/>
      <c r="O3" s="1"/>
      <c r="P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15" hidden="false" customHeight="false" outlineLevel="0" collapsed="false">
      <c r="A5" s="21" t="s">
        <v>48</v>
      </c>
      <c r="B5" s="21" t="s">
        <v>28</v>
      </c>
      <c r="C5" s="21" t="s">
        <v>220</v>
      </c>
      <c r="D5" s="21" t="s">
        <v>49</v>
      </c>
      <c r="E5" s="21" t="s">
        <v>50</v>
      </c>
      <c r="F5" s="21" t="s">
        <v>51</v>
      </c>
      <c r="G5" s="21" t="s">
        <v>52</v>
      </c>
      <c r="H5" s="21" t="s">
        <v>221</v>
      </c>
      <c r="I5" s="1"/>
      <c r="J5" s="1"/>
      <c r="K5" s="1"/>
      <c r="L5" s="1"/>
      <c r="M5" s="1"/>
      <c r="N5" s="1"/>
      <c r="O5" s="1"/>
      <c r="P5" s="1"/>
    </row>
    <row r="6" customFormat="false" ht="32.8" hidden="false" customHeight="false" outlineLevel="0" collapsed="false">
      <c r="A6" s="23" t="s">
        <v>14</v>
      </c>
      <c r="B6" s="23" t="n">
        <v>75636</v>
      </c>
      <c r="C6" s="23" t="n">
        <v>15.84</v>
      </c>
      <c r="D6" s="23" t="n">
        <v>15.55</v>
      </c>
      <c r="E6" s="23" t="n">
        <v>1.86</v>
      </c>
      <c r="F6" s="23" t="n">
        <v>5175</v>
      </c>
      <c r="G6" s="23" t="n">
        <v>6.84</v>
      </c>
      <c r="H6" s="22" t="s">
        <v>222</v>
      </c>
      <c r="I6" s="1"/>
      <c r="J6" s="1"/>
      <c r="K6" s="1"/>
      <c r="L6" s="1"/>
      <c r="M6" s="1"/>
      <c r="N6" s="1"/>
      <c r="O6" s="1"/>
      <c r="P6" s="1"/>
    </row>
    <row r="7" customFormat="false" ht="22.35" hidden="false" customHeight="false" outlineLevel="0" collapsed="false">
      <c r="A7" s="26" t="s">
        <v>55</v>
      </c>
      <c r="B7" s="26" t="n">
        <v>34746</v>
      </c>
      <c r="C7" s="26" t="n">
        <v>10</v>
      </c>
      <c r="D7" s="26" t="n">
        <v>20.23</v>
      </c>
      <c r="E7" s="26" t="n">
        <v>1.21</v>
      </c>
      <c r="F7" s="26" t="n">
        <v>2381</v>
      </c>
      <c r="G7" s="26" t="n">
        <v>6.85</v>
      </c>
      <c r="H7" s="25" t="s">
        <v>223</v>
      </c>
      <c r="I7" s="1"/>
      <c r="J7" s="1"/>
      <c r="K7" s="1"/>
      <c r="L7" s="1"/>
      <c r="M7" s="1"/>
      <c r="N7" s="1"/>
      <c r="O7" s="1"/>
      <c r="P7" s="1"/>
    </row>
    <row r="8" customFormat="false" ht="22.35" hidden="false" customHeight="false" outlineLevel="0" collapsed="false">
      <c r="A8" s="23" t="s">
        <v>57</v>
      </c>
      <c r="B8" s="23" t="n">
        <v>13957</v>
      </c>
      <c r="C8" s="23" t="n">
        <v>4.03</v>
      </c>
      <c r="D8" s="23" t="n">
        <v>20.2</v>
      </c>
      <c r="E8" s="23" t="n">
        <v>1.2</v>
      </c>
      <c r="F8" s="23" t="n">
        <v>934</v>
      </c>
      <c r="G8" s="23" t="n">
        <v>6.69</v>
      </c>
      <c r="H8" s="22" t="s">
        <v>224</v>
      </c>
      <c r="I8" s="1"/>
      <c r="J8" s="1"/>
      <c r="K8" s="1"/>
      <c r="L8" s="1"/>
      <c r="M8" s="1"/>
      <c r="N8" s="1"/>
      <c r="O8" s="1"/>
      <c r="P8" s="1"/>
    </row>
    <row r="9" customFormat="false" ht="22.35" hidden="false" customHeight="false" outlineLevel="0" collapsed="false">
      <c r="A9" s="26" t="s">
        <v>59</v>
      </c>
      <c r="B9" s="26" t="n">
        <v>13777</v>
      </c>
      <c r="C9" s="26" t="n">
        <v>2.95</v>
      </c>
      <c r="D9" s="26" t="n">
        <v>15.78</v>
      </c>
      <c r="E9" s="26" t="n">
        <v>1.84</v>
      </c>
      <c r="F9" s="26" t="n">
        <v>972</v>
      </c>
      <c r="G9" s="26" t="n">
        <v>7.06</v>
      </c>
      <c r="H9" s="25" t="s">
        <v>225</v>
      </c>
      <c r="I9" s="1"/>
      <c r="J9" s="1"/>
      <c r="K9" s="1"/>
      <c r="L9" s="1"/>
      <c r="M9" s="1"/>
      <c r="N9" s="1"/>
      <c r="O9" s="1"/>
      <c r="P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customFormat="false" ht="19.5" hidden="false" customHeight="true" outlineLevel="0" collapsed="false">
      <c r="A11" s="45" t="s">
        <v>226</v>
      </c>
      <c r="B11" s="45"/>
      <c r="C11" s="45"/>
      <c r="D11" s="45"/>
      <c r="E11" s="45"/>
      <c r="F11" s="45"/>
      <c r="G11" s="45"/>
      <c r="H11" s="45"/>
      <c r="I11" s="1"/>
      <c r="J11" s="1"/>
      <c r="K11" s="1"/>
      <c r="L11" s="1"/>
      <c r="M11" s="1"/>
      <c r="N11" s="1"/>
      <c r="O11" s="1"/>
      <c r="P11" s="1"/>
    </row>
    <row r="12" customFormat="false" ht="15.75" hidden="false" customHeight="true" outlineLevel="0" collapsed="false">
      <c r="A12" s="46" t="s">
        <v>227</v>
      </c>
      <c r="B12" s="46"/>
      <c r="C12" s="46"/>
      <c r="D12" s="46"/>
      <c r="E12" s="46"/>
      <c r="F12" s="46"/>
      <c r="G12" s="46"/>
      <c r="H12" s="46"/>
      <c r="I12" s="1"/>
      <c r="J12" s="1"/>
      <c r="K12" s="1"/>
      <c r="L12" s="1"/>
      <c r="M12" s="1"/>
      <c r="N12" s="1"/>
      <c r="O12" s="1"/>
      <c r="P12" s="1"/>
    </row>
    <row r="13" customFormat="false" ht="15.75" hidden="false" customHeight="true" outlineLevel="0" collapsed="false">
      <c r="A13" s="47" t="s">
        <v>228</v>
      </c>
      <c r="B13" s="47"/>
      <c r="C13" s="47"/>
      <c r="D13" s="47"/>
      <c r="E13" s="47"/>
      <c r="F13" s="47"/>
      <c r="G13" s="47"/>
      <c r="H13" s="47"/>
      <c r="I13" s="1"/>
      <c r="J13" s="1"/>
      <c r="K13" s="1"/>
      <c r="L13" s="1"/>
      <c r="M13" s="1"/>
      <c r="N13" s="1"/>
      <c r="O13" s="1"/>
      <c r="P13" s="1"/>
    </row>
    <row r="14" customFormat="false" ht="15.75" hidden="false" customHeight="true" outlineLevel="0" collapsed="false">
      <c r="A14" s="48" t="s">
        <v>229</v>
      </c>
      <c r="B14" s="48"/>
      <c r="C14" s="48"/>
      <c r="D14" s="48"/>
      <c r="E14" s="48"/>
      <c r="F14" s="48"/>
      <c r="G14" s="48"/>
      <c r="H14" s="48"/>
      <c r="I14" s="1"/>
      <c r="J14" s="1"/>
      <c r="K14" s="1"/>
      <c r="L14" s="1"/>
      <c r="M14" s="1"/>
      <c r="N14" s="1"/>
      <c r="O14" s="1"/>
      <c r="P14" s="1"/>
    </row>
    <row r="15" customFormat="false" ht="15.75" hidden="false" customHeight="true" outlineLevel="0" collapsed="false">
      <c r="A15" s="47" t="s">
        <v>230</v>
      </c>
      <c r="B15" s="47"/>
      <c r="C15" s="47"/>
      <c r="D15" s="47"/>
      <c r="E15" s="47"/>
      <c r="F15" s="47"/>
      <c r="G15" s="47"/>
      <c r="H15" s="47"/>
      <c r="I15" s="1"/>
      <c r="J15" s="1"/>
      <c r="K15" s="1"/>
      <c r="L15" s="1"/>
      <c r="M15" s="1"/>
      <c r="N15" s="1"/>
      <c r="O15" s="1"/>
      <c r="P15" s="1"/>
    </row>
    <row r="16" customFormat="false" ht="15.75" hidden="false" customHeight="true" outlineLevel="0" collapsed="false">
      <c r="A16" s="48" t="s">
        <v>231</v>
      </c>
      <c r="B16" s="48"/>
      <c r="C16" s="48"/>
      <c r="D16" s="48"/>
      <c r="E16" s="48"/>
      <c r="F16" s="48"/>
      <c r="G16" s="48"/>
      <c r="H16" s="48"/>
      <c r="I16" s="1"/>
      <c r="J16" s="1"/>
      <c r="K16" s="1"/>
      <c r="L16" s="1"/>
      <c r="M16" s="1"/>
      <c r="N16" s="1"/>
      <c r="O16" s="1"/>
      <c r="P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21" t="s">
        <v>232</v>
      </c>
      <c r="K18" s="21" t="s">
        <v>217</v>
      </c>
      <c r="L18" s="1"/>
      <c r="M18" s="1"/>
      <c r="N18" s="1"/>
      <c r="O18" s="1"/>
      <c r="P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23" t="n">
        <v>0</v>
      </c>
      <c r="K19" s="23" t="n">
        <v>54.11</v>
      </c>
      <c r="L19" s="1"/>
      <c r="M19" s="1"/>
      <c r="N19" s="1"/>
      <c r="O19" s="1"/>
      <c r="P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23" t="n">
        <v>8</v>
      </c>
      <c r="K20" s="23" t="n">
        <v>51.05</v>
      </c>
      <c r="L20" s="1"/>
      <c r="M20" s="1"/>
      <c r="N20" s="1"/>
      <c r="O20" s="1"/>
      <c r="P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23" t="n">
        <v>15</v>
      </c>
      <c r="K21" s="23" t="n">
        <v>46.66</v>
      </c>
      <c r="L21" s="1"/>
      <c r="M21" s="1"/>
      <c r="N21" s="1"/>
      <c r="O21" s="1"/>
      <c r="P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23" t="n">
        <v>25</v>
      </c>
      <c r="K22" s="23" t="n">
        <v>32.58</v>
      </c>
      <c r="L22" s="1"/>
      <c r="M22" s="1"/>
      <c r="N22" s="1"/>
      <c r="O22" s="1"/>
      <c r="P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</sheetData>
  <mergeCells count="8">
    <mergeCell ref="A1:L1"/>
    <mergeCell ref="A3:H3"/>
    <mergeCell ref="A11:H11"/>
    <mergeCell ref="A12:H12"/>
    <mergeCell ref="A13:H13"/>
    <mergeCell ref="A14:H14"/>
    <mergeCell ref="A15:H15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35"/>
    <pageSetUpPr fitToPage="false"/>
  </sheetPr>
  <dimension ref="A1:P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36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10" min="9" style="0" width="12"/>
    <col collapsed="false" customWidth="true" hidden="false" outlineLevel="0" max="11" min="11" style="0" width="36"/>
  </cols>
  <sheetData>
    <row r="1" customFormat="false" ht="19.5" hidden="false" customHeight="true" outlineLevel="0" collapsed="false">
      <c r="A1" s="28" t="s">
        <v>233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1"/>
      <c r="N1" s="1"/>
      <c r="O1" s="1"/>
      <c r="P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9.5" hidden="false" customHeight="true" outlineLevel="0" collapsed="false">
      <c r="A3" s="20" t="s">
        <v>234</v>
      </c>
      <c r="B3" s="20"/>
      <c r="C3" s="20"/>
      <c r="D3" s="20"/>
      <c r="E3" s="20"/>
      <c r="F3" s="1"/>
      <c r="G3" s="1"/>
      <c r="H3" s="29" t="s">
        <v>235</v>
      </c>
      <c r="I3" s="29"/>
      <c r="J3" s="29"/>
      <c r="K3" s="29"/>
      <c r="L3" s="29"/>
      <c r="M3" s="29"/>
      <c r="N3" s="1"/>
      <c r="O3" s="1"/>
      <c r="P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15" hidden="false" customHeight="false" outlineLevel="0" collapsed="false">
      <c r="A5" s="21" t="s">
        <v>236</v>
      </c>
      <c r="B5" s="21" t="s">
        <v>237</v>
      </c>
      <c r="C5" s="21" t="s">
        <v>238</v>
      </c>
      <c r="D5" s="21" t="s">
        <v>239</v>
      </c>
      <c r="E5" s="1"/>
      <c r="F5" s="21" t="s">
        <v>240</v>
      </c>
      <c r="G5" s="21" t="s">
        <v>51</v>
      </c>
      <c r="H5" s="21" t="s">
        <v>241</v>
      </c>
      <c r="I5" s="21" t="s">
        <v>242</v>
      </c>
      <c r="J5" s="21" t="s">
        <v>243</v>
      </c>
      <c r="K5" s="21" t="s">
        <v>244</v>
      </c>
      <c r="L5" s="1"/>
      <c r="M5" s="1"/>
      <c r="N5" s="1"/>
      <c r="O5" s="1"/>
      <c r="P5" s="1"/>
    </row>
    <row r="6" customFormat="false" ht="22.35" hidden="false" customHeight="false" outlineLevel="0" collapsed="false">
      <c r="A6" s="22" t="s">
        <v>245</v>
      </c>
      <c r="B6" s="23" t="n">
        <v>1237</v>
      </c>
      <c r="C6" s="23" t="n">
        <v>15.6</v>
      </c>
      <c r="D6" s="22" t="s">
        <v>246</v>
      </c>
      <c r="E6" s="1"/>
      <c r="F6" s="23" t="s">
        <v>245</v>
      </c>
      <c r="G6" s="23" t="n">
        <v>1237</v>
      </c>
      <c r="H6" s="23" t="s">
        <v>247</v>
      </c>
      <c r="I6" s="23" t="n">
        <v>3.76</v>
      </c>
      <c r="J6" s="23" t="n">
        <v>0</v>
      </c>
      <c r="K6" s="22" t="s">
        <v>248</v>
      </c>
      <c r="L6" s="1"/>
      <c r="M6" s="1"/>
      <c r="N6" s="1"/>
      <c r="O6" s="1"/>
      <c r="P6" s="1"/>
    </row>
    <row r="7" customFormat="false" ht="22.35" hidden="false" customHeight="false" outlineLevel="0" collapsed="false">
      <c r="A7" s="25" t="s">
        <v>102</v>
      </c>
      <c r="B7" s="26" t="n">
        <v>1208</v>
      </c>
      <c r="C7" s="26" t="n">
        <v>15.3</v>
      </c>
      <c r="D7" s="25" t="s">
        <v>249</v>
      </c>
      <c r="E7" s="1"/>
      <c r="F7" s="23" t="s">
        <v>102</v>
      </c>
      <c r="G7" s="23" t="n">
        <v>1208</v>
      </c>
      <c r="H7" s="26" t="s">
        <v>250</v>
      </c>
      <c r="I7" s="26" t="n">
        <v>3.22</v>
      </c>
      <c r="J7" s="26" t="n">
        <v>22.83</v>
      </c>
      <c r="K7" s="25" t="s">
        <v>251</v>
      </c>
      <c r="L7" s="1"/>
      <c r="M7" s="1"/>
      <c r="N7" s="1"/>
      <c r="O7" s="1"/>
      <c r="P7" s="1"/>
    </row>
    <row r="8" customFormat="false" ht="22.35" hidden="false" customHeight="false" outlineLevel="0" collapsed="false">
      <c r="A8" s="22" t="s">
        <v>252</v>
      </c>
      <c r="B8" s="23" t="n">
        <v>1204</v>
      </c>
      <c r="C8" s="23" t="n">
        <v>15.2</v>
      </c>
      <c r="D8" s="22" t="s">
        <v>253</v>
      </c>
      <c r="E8" s="1"/>
      <c r="F8" s="23" t="s">
        <v>252</v>
      </c>
      <c r="G8" s="23" t="n">
        <v>1204</v>
      </c>
      <c r="H8" s="1"/>
      <c r="I8" s="1"/>
      <c r="J8" s="1"/>
      <c r="K8" s="1"/>
      <c r="L8" s="1"/>
      <c r="M8" s="1"/>
      <c r="N8" s="1"/>
      <c r="O8" s="1"/>
      <c r="P8" s="1"/>
    </row>
    <row r="9" customFormat="false" ht="15" hidden="false" customHeight="false" outlineLevel="0" collapsed="false">
      <c r="A9" s="25" t="s">
        <v>254</v>
      </c>
      <c r="B9" s="26" t="n">
        <v>1182</v>
      </c>
      <c r="C9" s="26" t="n">
        <v>14.9</v>
      </c>
      <c r="D9" s="25" t="s">
        <v>255</v>
      </c>
      <c r="E9" s="1"/>
      <c r="F9" s="23" t="s">
        <v>254</v>
      </c>
      <c r="G9" s="23" t="n">
        <v>1182</v>
      </c>
      <c r="H9" s="21" t="s">
        <v>256</v>
      </c>
      <c r="I9" s="21" t="s">
        <v>257</v>
      </c>
      <c r="J9" s="1"/>
      <c r="K9" s="1"/>
      <c r="L9" s="1"/>
      <c r="M9" s="1"/>
      <c r="N9" s="1"/>
      <c r="O9" s="1"/>
      <c r="P9" s="1"/>
    </row>
    <row r="10" customFormat="false" ht="15" hidden="false" customHeight="false" outlineLevel="0" collapsed="false">
      <c r="A10" s="22" t="s">
        <v>258</v>
      </c>
      <c r="B10" s="23" t="n">
        <v>1174</v>
      </c>
      <c r="C10" s="23" t="n">
        <v>14.8</v>
      </c>
      <c r="D10" s="22" t="s">
        <v>259</v>
      </c>
      <c r="E10" s="1"/>
      <c r="F10" s="23" t="s">
        <v>258</v>
      </c>
      <c r="G10" s="23" t="n">
        <v>1174</v>
      </c>
      <c r="H10" s="23" t="s">
        <v>260</v>
      </c>
      <c r="I10" s="23" t="n">
        <v>3.76</v>
      </c>
      <c r="J10" s="1"/>
      <c r="K10" s="1"/>
      <c r="L10" s="1"/>
      <c r="M10" s="1"/>
      <c r="N10" s="1"/>
      <c r="O10" s="1"/>
      <c r="P10" s="1"/>
    </row>
    <row r="11" customFormat="false" ht="15" hidden="false" customHeight="false" outlineLevel="0" collapsed="false">
      <c r="A11" s="25" t="s">
        <v>261</v>
      </c>
      <c r="B11" s="26" t="n">
        <v>1172</v>
      </c>
      <c r="C11" s="26" t="n">
        <v>14.8</v>
      </c>
      <c r="D11" s="25" t="s">
        <v>262</v>
      </c>
      <c r="E11" s="1"/>
      <c r="F11" s="23" t="s">
        <v>261</v>
      </c>
      <c r="G11" s="23" t="n">
        <v>1172</v>
      </c>
      <c r="H11" s="23" t="s">
        <v>250</v>
      </c>
      <c r="I11" s="23" t="n">
        <v>3.22</v>
      </c>
      <c r="J11" s="1"/>
      <c r="K11" s="1"/>
      <c r="L11" s="1"/>
      <c r="M11" s="1"/>
      <c r="N11" s="1"/>
      <c r="O11" s="1"/>
      <c r="P11" s="1"/>
    </row>
    <row r="12" customFormat="false" ht="22.35" hidden="false" customHeight="false" outlineLevel="0" collapsed="false">
      <c r="A12" s="22" t="s">
        <v>263</v>
      </c>
      <c r="B12" s="23" t="n">
        <v>1147</v>
      </c>
      <c r="C12" s="23" t="n">
        <v>14.5</v>
      </c>
      <c r="D12" s="22" t="s">
        <v>264</v>
      </c>
      <c r="E12" s="1"/>
      <c r="F12" s="23" t="s">
        <v>263</v>
      </c>
      <c r="G12" s="23" t="n">
        <v>1147</v>
      </c>
      <c r="H12" s="1"/>
      <c r="I12" s="1"/>
      <c r="J12" s="1"/>
      <c r="K12" s="1"/>
      <c r="L12" s="1"/>
      <c r="M12" s="1"/>
      <c r="N12" s="1"/>
      <c r="O12" s="1"/>
      <c r="P12" s="1"/>
    </row>
    <row r="13" customFormat="false" ht="22.35" hidden="false" customHeight="false" outlineLevel="0" collapsed="false">
      <c r="A13" s="25" t="s">
        <v>265</v>
      </c>
      <c r="B13" s="26" t="n">
        <v>1138</v>
      </c>
      <c r="C13" s="26" t="n">
        <v>14.4</v>
      </c>
      <c r="D13" s="25" t="s">
        <v>266</v>
      </c>
      <c r="E13" s="1"/>
      <c r="F13" s="23" t="s">
        <v>265</v>
      </c>
      <c r="G13" s="23" t="n">
        <v>1138</v>
      </c>
      <c r="H13" s="1"/>
      <c r="I13" s="1"/>
      <c r="J13" s="1"/>
      <c r="K13" s="1"/>
      <c r="L13" s="1"/>
      <c r="M13" s="1"/>
      <c r="N13" s="1"/>
      <c r="O13" s="1"/>
      <c r="P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mergeCells count="3">
    <mergeCell ref="A1:L1"/>
    <mergeCell ref="A3:E3"/>
    <mergeCell ref="H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0E0EF"/>
    <pageSetUpPr fitToPage="false"/>
  </sheetPr>
  <dimension ref="A1:T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</cols>
  <sheetData>
    <row r="1" customFormat="false" ht="19.5" hidden="false" customHeight="true" outlineLevel="0" collapsed="false">
      <c r="A1" s="28" t="s">
        <v>267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customFormat="false" ht="15" hidden="false" customHeight="false" outlineLevel="0" collapsed="false">
      <c r="A4" s="21" t="s">
        <v>268</v>
      </c>
      <c r="B4" s="21" t="s">
        <v>28</v>
      </c>
      <c r="C4" s="21" t="s">
        <v>191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customFormat="false" ht="15" hidden="false" customHeight="false" outlineLevel="0" collapsed="false">
      <c r="A5" s="23" t="s">
        <v>269</v>
      </c>
      <c r="B5" s="23" t="n">
        <v>1906</v>
      </c>
      <c r="C5" s="34" t="n">
        <v>2344486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customFormat="false" ht="15" hidden="false" customHeight="false" outlineLevel="0" collapsed="false">
      <c r="A6" s="26" t="s">
        <v>269</v>
      </c>
      <c r="B6" s="26" t="n">
        <v>1565</v>
      </c>
      <c r="C6" s="35" t="n">
        <v>1875992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customFormat="false" ht="15" hidden="false" customHeight="false" outlineLevel="0" collapsed="false">
      <c r="A7" s="23" t="s">
        <v>269</v>
      </c>
      <c r="B7" s="23" t="n">
        <v>2166</v>
      </c>
      <c r="C7" s="34" t="n">
        <v>2713085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customFormat="false" ht="15" hidden="false" customHeight="false" outlineLevel="0" collapsed="false">
      <c r="A8" s="26" t="s">
        <v>269</v>
      </c>
      <c r="B8" s="26" t="n">
        <v>1943</v>
      </c>
      <c r="C8" s="35" t="n">
        <v>2430890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customFormat="false" ht="15" hidden="false" customHeight="false" outlineLevel="0" collapsed="false">
      <c r="A9" s="23" t="s">
        <v>269</v>
      </c>
      <c r="B9" s="23" t="n">
        <v>2096</v>
      </c>
      <c r="C9" s="34" t="n">
        <v>2497863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customFormat="false" ht="15" hidden="false" customHeight="false" outlineLevel="0" collapsed="false">
      <c r="A10" s="26" t="s">
        <v>269</v>
      </c>
      <c r="B10" s="26" t="n">
        <v>2203</v>
      </c>
      <c r="C10" s="35" t="n">
        <v>2668761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customFormat="false" ht="15" hidden="false" customHeight="false" outlineLevel="0" collapsed="false">
      <c r="A11" s="23" t="s">
        <v>269</v>
      </c>
      <c r="B11" s="23" t="n">
        <v>2036</v>
      </c>
      <c r="C11" s="34" t="n">
        <v>3290375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customFormat="false" ht="15" hidden="false" customHeight="false" outlineLevel="0" collapsed="false">
      <c r="A12" s="26" t="s">
        <v>269</v>
      </c>
      <c r="B12" s="26" t="n">
        <v>2474</v>
      </c>
      <c r="C12" s="35" t="n">
        <v>3165709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customFormat="false" ht="15" hidden="false" customHeight="false" outlineLevel="0" collapsed="false">
      <c r="A13" s="23" t="s">
        <v>269</v>
      </c>
      <c r="B13" s="23" t="n">
        <v>2134</v>
      </c>
      <c r="C13" s="34" t="n">
        <v>2812591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customFormat="false" ht="15" hidden="false" customHeight="false" outlineLevel="0" collapsed="false">
      <c r="A14" s="26" t="s">
        <v>269</v>
      </c>
      <c r="B14" s="26" t="n">
        <v>2324</v>
      </c>
      <c r="C14" s="35" t="n">
        <v>2953967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customFormat="false" ht="15" hidden="false" customHeight="false" outlineLevel="0" collapsed="false">
      <c r="A15" s="23" t="s">
        <v>269</v>
      </c>
      <c r="B15" s="23" t="n">
        <v>3139</v>
      </c>
      <c r="C15" s="34" t="n">
        <v>5390548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customFormat="false" ht="15" hidden="false" customHeight="false" outlineLevel="0" collapsed="false">
      <c r="A16" s="26" t="s">
        <v>269</v>
      </c>
      <c r="B16" s="26" t="n">
        <v>3568</v>
      </c>
      <c r="C16" s="35" t="n">
        <v>6184158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customFormat="false" ht="15" hidden="false" customHeight="false" outlineLevel="0" collapsed="false">
      <c r="A17" s="23" t="s">
        <v>269</v>
      </c>
      <c r="B17" s="23" t="n">
        <v>1934</v>
      </c>
      <c r="C17" s="34" t="n">
        <v>2401904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customFormat="false" ht="15" hidden="false" customHeight="false" outlineLevel="0" collapsed="false">
      <c r="A18" s="26" t="s">
        <v>269</v>
      </c>
      <c r="B18" s="26" t="n">
        <v>1615</v>
      </c>
      <c r="C18" s="35" t="n">
        <v>1989027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customFormat="false" ht="15" hidden="false" customHeight="false" outlineLevel="0" collapsed="false">
      <c r="A19" s="23" t="s">
        <v>269</v>
      </c>
      <c r="B19" s="23" t="n">
        <v>2126</v>
      </c>
      <c r="C19" s="34" t="n">
        <v>2645695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customFormat="false" ht="15" hidden="false" customHeight="false" outlineLevel="0" collapsed="false">
      <c r="A20" s="26" t="s">
        <v>269</v>
      </c>
      <c r="B20" s="26" t="n">
        <v>2008</v>
      </c>
      <c r="C20" s="35" t="n">
        <v>2471795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customFormat="false" ht="15" hidden="false" customHeight="false" outlineLevel="0" collapsed="false">
      <c r="A21" s="23" t="s">
        <v>269</v>
      </c>
      <c r="B21" s="23" t="n">
        <v>2041</v>
      </c>
      <c r="C21" s="34" t="n">
        <v>2485007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customFormat="false" ht="15" hidden="false" customHeight="false" outlineLevel="0" collapsed="false">
      <c r="A22" s="26" t="s">
        <v>269</v>
      </c>
      <c r="B22" s="26" t="n">
        <v>2174</v>
      </c>
      <c r="C22" s="35" t="n">
        <v>2658257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customFormat="false" ht="15" hidden="false" customHeight="false" outlineLevel="0" collapsed="false">
      <c r="A23" s="23" t="s">
        <v>269</v>
      </c>
      <c r="B23" s="23" t="n">
        <v>2011</v>
      </c>
      <c r="C23" s="34" t="n">
        <v>3129794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customFormat="false" ht="15" hidden="false" customHeight="false" outlineLevel="0" collapsed="false">
      <c r="A24" s="26" t="s">
        <v>269</v>
      </c>
      <c r="B24" s="26" t="n">
        <v>2349</v>
      </c>
      <c r="C24" s="35" t="n">
        <v>2886866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customFormat="false" ht="15" hidden="false" customHeight="false" outlineLevel="0" collapsed="false">
      <c r="A25" s="23" t="s">
        <v>269</v>
      </c>
      <c r="B25" s="23" t="n">
        <v>2124</v>
      </c>
      <c r="C25" s="34" t="n">
        <v>2831778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customFormat="false" ht="15" hidden="false" customHeight="false" outlineLevel="0" collapsed="false">
      <c r="A26" s="26" t="s">
        <v>269</v>
      </c>
      <c r="B26" s="26" t="n">
        <v>2333</v>
      </c>
      <c r="C26" s="35" t="n">
        <v>2876097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customFormat="false" ht="15" hidden="false" customHeight="false" outlineLevel="0" collapsed="false">
      <c r="A27" s="23" t="s">
        <v>269</v>
      </c>
      <c r="B27" s="23" t="n">
        <v>3257</v>
      </c>
      <c r="C27" s="34" t="n">
        <v>5637600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customFormat="false" ht="15" hidden="false" customHeight="false" outlineLevel="0" collapsed="false">
      <c r="A28" s="26" t="s">
        <v>269</v>
      </c>
      <c r="B28" s="26" t="n">
        <v>3592</v>
      </c>
      <c r="C28" s="35" t="n">
        <v>5930370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customFormat="false" ht="15" hidden="false" customHeight="false" outlineLevel="0" collapsed="false">
      <c r="A29" s="23" t="s">
        <v>269</v>
      </c>
      <c r="B29" s="23" t="n">
        <v>1926</v>
      </c>
      <c r="C29" s="34" t="n">
        <v>2421041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customFormat="false" ht="15" hidden="false" customHeight="false" outlineLevel="0" collapsed="false">
      <c r="A30" s="26" t="s">
        <v>269</v>
      </c>
      <c r="B30" s="26" t="n">
        <v>1585</v>
      </c>
      <c r="C30" s="35" t="n">
        <v>2011133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customFormat="false" ht="15" hidden="false" customHeight="false" outlineLevel="0" collapsed="false">
      <c r="A31" s="23" t="s">
        <v>269</v>
      </c>
      <c r="B31" s="23" t="n">
        <v>2134</v>
      </c>
      <c r="C31" s="34" t="n">
        <v>2639650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customFormat="false" ht="15" hidden="false" customHeight="false" outlineLevel="0" collapsed="false">
      <c r="A32" s="26" t="s">
        <v>269</v>
      </c>
      <c r="B32" s="26" t="n">
        <v>2040</v>
      </c>
      <c r="C32" s="35" t="n">
        <v>2450464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customFormat="false" ht="15" hidden="false" customHeight="false" outlineLevel="0" collapsed="false">
      <c r="A33" s="23" t="s">
        <v>269</v>
      </c>
      <c r="B33" s="23" t="n">
        <v>2054</v>
      </c>
      <c r="C33" s="34" t="n">
        <v>2526627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customFormat="false" ht="15" hidden="false" customHeight="false" outlineLevel="0" collapsed="false">
      <c r="A34" s="26" t="s">
        <v>269</v>
      </c>
      <c r="B34" s="26" t="n">
        <v>2189</v>
      </c>
      <c r="C34" s="35" t="n">
        <v>2753168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customFormat="false" ht="15" hidden="false" customHeight="false" outlineLevel="0" collapsed="false">
      <c r="A35" s="23" t="s">
        <v>269</v>
      </c>
      <c r="B35" s="23" t="n">
        <v>2010</v>
      </c>
      <c r="C35" s="34" t="n">
        <v>3078026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customFormat="false" ht="15" hidden="false" customHeight="false" outlineLevel="0" collapsed="false">
      <c r="A36" s="26" t="s">
        <v>270</v>
      </c>
      <c r="B36" s="26" t="n">
        <v>2484</v>
      </c>
      <c r="C36" s="35" t="n">
        <v>3022753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customFormat="false" ht="15" hidden="false" customHeight="false" outlineLevel="0" collapsed="false">
      <c r="A37" s="23" t="s">
        <v>270</v>
      </c>
      <c r="B37" s="23" t="n">
        <v>2190</v>
      </c>
      <c r="C37" s="34" t="n">
        <v>2844887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customFormat="false" ht="15" hidden="false" customHeight="false" outlineLevel="0" collapsed="false">
      <c r="A38" s="26" t="s">
        <v>270</v>
      </c>
      <c r="B38" s="26" t="n">
        <v>2347</v>
      </c>
      <c r="C38" s="35" t="n">
        <v>2951271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customFormat="false" ht="15" hidden="false" customHeight="false" outlineLevel="0" collapsed="false">
      <c r="A39" s="23" t="s">
        <v>270</v>
      </c>
      <c r="B39" s="23" t="n">
        <v>3177</v>
      </c>
      <c r="C39" s="34" t="n">
        <v>5457890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customFormat="false" ht="15" hidden="false" customHeight="false" outlineLevel="0" collapsed="false">
      <c r="A40" s="26" t="s">
        <v>270</v>
      </c>
      <c r="B40" s="26" t="n">
        <v>3496</v>
      </c>
      <c r="C40" s="35" t="n">
        <v>5960070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customFormat="false" ht="15" hidden="false" customHeight="false" outlineLevel="0" collapsed="false">
      <c r="A41" s="23" t="s">
        <v>270</v>
      </c>
      <c r="B41" s="23" t="n">
        <v>1965</v>
      </c>
      <c r="C41" s="34" t="n">
        <v>2473953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customFormat="false" ht="15" hidden="false" customHeight="false" outlineLevel="0" collapsed="false">
      <c r="A42" s="26" t="s">
        <v>270</v>
      </c>
      <c r="B42" s="26" t="n">
        <v>1617</v>
      </c>
      <c r="C42" s="35" t="n">
        <v>2082234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customFormat="false" ht="15" hidden="false" customHeight="false" outlineLevel="0" collapsed="false">
      <c r="A43" s="23" t="s">
        <v>270</v>
      </c>
      <c r="B43" s="23" t="n">
        <v>2202</v>
      </c>
      <c r="C43" s="34" t="n">
        <v>2706009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customFormat="false" ht="15" hidden="false" customHeight="false" outlineLevel="0" collapsed="false">
      <c r="A44" s="26" t="s">
        <v>270</v>
      </c>
      <c r="B44" s="26" t="n">
        <v>2123</v>
      </c>
      <c r="C44" s="35" t="n">
        <v>2595327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customFormat="false" ht="15" hidden="false" customHeight="false" outlineLevel="0" collapsed="false">
      <c r="A45" s="23" t="s">
        <v>270</v>
      </c>
      <c r="B45" s="23" t="n">
        <v>2048</v>
      </c>
      <c r="C45" s="34" t="n">
        <v>2528304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customFormat="false" ht="15" hidden="false" customHeight="false" outlineLevel="0" collapsed="false">
      <c r="A46" s="26" t="s">
        <v>270</v>
      </c>
      <c r="B46" s="26" t="n">
        <v>2176</v>
      </c>
      <c r="C46" s="35" t="n">
        <v>2584843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customFormat="false" ht="15" hidden="false" customHeight="false" outlineLevel="0" collapsed="false">
      <c r="A47" s="23" t="s">
        <v>270</v>
      </c>
      <c r="B47" s="23" t="n">
        <v>2029</v>
      </c>
      <c r="C47" s="34" t="n">
        <v>3229056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customFormat="false" ht="15" hidden="false" customHeight="false" outlineLevel="0" collapsed="false">
      <c r="A48" s="26" t="s">
        <v>270</v>
      </c>
      <c r="B48" s="26" t="n">
        <v>2394</v>
      </c>
      <c r="C48" s="35" t="n">
        <v>2809220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customFormat="false" ht="15" hidden="false" customHeight="false" outlineLevel="0" collapsed="false">
      <c r="A49" s="23" t="s">
        <v>270</v>
      </c>
      <c r="B49" s="23" t="n">
        <v>2181</v>
      </c>
      <c r="C49" s="34" t="n">
        <v>2856584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customFormat="false" ht="15" hidden="false" customHeight="false" outlineLevel="0" collapsed="false">
      <c r="A50" s="26" t="s">
        <v>270</v>
      </c>
      <c r="B50" s="26" t="n">
        <v>2293</v>
      </c>
      <c r="C50" s="35" t="n">
        <v>2831361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customFormat="false" ht="15" hidden="false" customHeight="false" outlineLevel="0" collapsed="false">
      <c r="A51" s="23" t="s">
        <v>270</v>
      </c>
      <c r="B51" s="23" t="n">
        <v>3297</v>
      </c>
      <c r="C51" s="34" t="n">
        <v>5521108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customFormat="false" ht="15" hidden="false" customHeight="false" outlineLevel="0" collapsed="false">
      <c r="A52" s="26" t="s">
        <v>270</v>
      </c>
      <c r="B52" s="26" t="n">
        <v>3443</v>
      </c>
      <c r="C52" s="35" t="n">
        <v>5769556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customFormat="false" ht="15" hidden="false" customHeight="false" outlineLevel="0" collapsed="false">
      <c r="A53" s="23" t="s">
        <v>270</v>
      </c>
      <c r="B53" s="23" t="n">
        <v>1962</v>
      </c>
      <c r="C53" s="34" t="n">
        <v>2407803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customFormat="false" ht="15" hidden="false" customHeight="false" outlineLevel="0" collapsed="false">
      <c r="A54" s="26" t="s">
        <v>270</v>
      </c>
      <c r="B54" s="26" t="n">
        <v>1645</v>
      </c>
      <c r="C54" s="35" t="n">
        <v>1981357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customFormat="false" ht="15" hidden="false" customHeight="false" outlineLevel="0" collapsed="false">
      <c r="A55" s="23" t="s">
        <v>270</v>
      </c>
      <c r="B55" s="23" t="n">
        <v>2194</v>
      </c>
      <c r="C55" s="34" t="n">
        <v>2737525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customFormat="false" ht="15" hidden="false" customHeight="false" outlineLevel="0" collapsed="false">
      <c r="A56" s="26" t="s">
        <v>270</v>
      </c>
      <c r="B56" s="26" t="n">
        <v>2006</v>
      </c>
      <c r="C56" s="35" t="n">
        <v>2479887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customFormat="false" ht="15" hidden="false" customHeight="false" outlineLevel="0" collapsed="false">
      <c r="A57" s="23" t="s">
        <v>270</v>
      </c>
      <c r="B57" s="23" t="n">
        <v>1999</v>
      </c>
      <c r="C57" s="34" t="n">
        <v>2373703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customFormat="false" ht="15" hidden="false" customHeight="false" outlineLevel="0" collapsed="false">
      <c r="A58" s="26" t="s">
        <v>270</v>
      </c>
      <c r="B58" s="26" t="n">
        <v>2138</v>
      </c>
      <c r="C58" s="35" t="n">
        <v>2574224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customFormat="false" ht="15" hidden="false" customHeight="false" outlineLevel="0" collapsed="false">
      <c r="A59" s="23" t="s">
        <v>270</v>
      </c>
      <c r="B59" s="23" t="n">
        <v>2121</v>
      </c>
      <c r="C59" s="34" t="n">
        <v>3226511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customFormat="false" ht="15" hidden="false" customHeight="false" outlineLevel="0" collapsed="false">
      <c r="A60" s="26" t="s">
        <v>270</v>
      </c>
      <c r="B60" s="26" t="n">
        <v>2363</v>
      </c>
      <c r="C60" s="35" t="n">
        <v>2915602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customFormat="false" ht="15" hidden="false" customHeight="false" outlineLevel="0" collapsed="false">
      <c r="A61" s="23" t="s">
        <v>270</v>
      </c>
      <c r="B61" s="23" t="n">
        <v>2226</v>
      </c>
      <c r="C61" s="34" t="n">
        <v>2940500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customFormat="false" ht="15" hidden="false" customHeight="false" outlineLevel="0" collapsed="false">
      <c r="A62" s="26" t="s">
        <v>270</v>
      </c>
      <c r="B62" s="26" t="n">
        <v>2285</v>
      </c>
      <c r="C62" s="35" t="n">
        <v>2744499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customFormat="false" ht="15" hidden="false" customHeight="false" outlineLevel="0" collapsed="false">
      <c r="A63" s="23" t="s">
        <v>270</v>
      </c>
      <c r="B63" s="23" t="n">
        <v>3191</v>
      </c>
      <c r="C63" s="34" t="n">
        <v>5468300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customFormat="false" ht="15" hidden="false" customHeight="false" outlineLevel="0" collapsed="false">
      <c r="A64" s="26" t="s">
        <v>271</v>
      </c>
      <c r="B64" s="26" t="n">
        <v>3468</v>
      </c>
      <c r="C64" s="35" t="n">
        <v>5735497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4D8"/>
    <pageSetUpPr fitToPage="false"/>
  </sheetPr>
  <dimension ref="A1:P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8" style="0" width="18"/>
    <col collapsed="false" customWidth="true" hidden="false" outlineLevel="0" max="9" min="9" style="0" width="9"/>
    <col collapsed="false" customWidth="true" hidden="false" outlineLevel="0" max="12" min="10" style="0" width="12"/>
    <col collapsed="false" customWidth="true" hidden="false" outlineLevel="0" max="13" min="13" style="0" width="10"/>
    <col collapsed="false" customWidth="true" hidden="false" outlineLevel="0" max="14" min="14" style="0" width="11"/>
  </cols>
  <sheetData>
    <row r="1" customFormat="false" ht="19.5" hidden="false" customHeight="true" outlineLevel="0" collapsed="false">
      <c r="A1" s="28" t="s">
        <v>272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1"/>
      <c r="P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customFormat="false" ht="22.35" hidden="false" customHeight="false" outlineLevel="0" collapsed="false">
      <c r="A4" s="21" t="s">
        <v>189</v>
      </c>
      <c r="B4" s="21" t="s">
        <v>190</v>
      </c>
      <c r="C4" s="21" t="s">
        <v>28</v>
      </c>
      <c r="D4" s="21" t="s">
        <v>273</v>
      </c>
      <c r="E4" s="21" t="s">
        <v>274</v>
      </c>
      <c r="F4" s="21" t="s">
        <v>275</v>
      </c>
      <c r="G4" s="1"/>
      <c r="H4" s="21" t="s">
        <v>48</v>
      </c>
      <c r="I4" s="21" t="s">
        <v>28</v>
      </c>
      <c r="J4" s="21" t="s">
        <v>276</v>
      </c>
      <c r="K4" s="21" t="s">
        <v>277</v>
      </c>
      <c r="L4" s="21" t="s">
        <v>278</v>
      </c>
      <c r="M4" s="21" t="s">
        <v>51</v>
      </c>
      <c r="N4" s="21" t="s">
        <v>279</v>
      </c>
      <c r="O4" s="1"/>
      <c r="P4" s="1"/>
    </row>
    <row r="5" customFormat="false" ht="15" hidden="false" customHeight="false" outlineLevel="0" collapsed="false">
      <c r="A5" s="23" t="s">
        <v>194</v>
      </c>
      <c r="B5" s="23" t="s">
        <v>15</v>
      </c>
      <c r="C5" s="23" t="n">
        <v>8930</v>
      </c>
      <c r="D5" s="34" t="n">
        <v>11338477</v>
      </c>
      <c r="E5" s="36" t="n">
        <v>8770.09</v>
      </c>
      <c r="F5" s="23" t="n">
        <v>44.06</v>
      </c>
      <c r="G5" s="1"/>
      <c r="H5" s="23" t="s">
        <v>14</v>
      </c>
      <c r="I5" s="23" t="n">
        <v>75636</v>
      </c>
      <c r="J5" s="23" t="n">
        <v>15.84</v>
      </c>
      <c r="K5" s="23" t="n">
        <v>15.55</v>
      </c>
      <c r="L5" s="23" t="n">
        <v>1.86</v>
      </c>
      <c r="M5" s="23" t="n">
        <v>5175</v>
      </c>
      <c r="N5" s="23" t="n">
        <v>6.84</v>
      </c>
      <c r="O5" s="1"/>
      <c r="P5" s="1"/>
    </row>
    <row r="6" customFormat="false" ht="15" hidden="false" customHeight="false" outlineLevel="0" collapsed="false">
      <c r="A6" s="26" t="s">
        <v>195</v>
      </c>
      <c r="B6" s="26" t="s">
        <v>15</v>
      </c>
      <c r="C6" s="26" t="n">
        <v>6533</v>
      </c>
      <c r="D6" s="35" t="n">
        <v>8206109</v>
      </c>
      <c r="E6" s="37" t="n">
        <v>8777.25</v>
      </c>
      <c r="F6" s="26" t="n">
        <v>43.95</v>
      </c>
      <c r="G6" s="1"/>
      <c r="H6" s="26" t="s">
        <v>55</v>
      </c>
      <c r="I6" s="26" t="n">
        <v>34746</v>
      </c>
      <c r="J6" s="26" t="n">
        <v>10</v>
      </c>
      <c r="K6" s="26" t="n">
        <v>20.23</v>
      </c>
      <c r="L6" s="26" t="n">
        <v>1.21</v>
      </c>
      <c r="M6" s="26" t="n">
        <v>2381</v>
      </c>
      <c r="N6" s="26" t="n">
        <v>6.85</v>
      </c>
      <c r="O6" s="1"/>
      <c r="P6" s="1"/>
    </row>
    <row r="7" customFormat="false" ht="15" hidden="false" customHeight="false" outlineLevel="0" collapsed="false">
      <c r="A7" s="23" t="s">
        <v>196</v>
      </c>
      <c r="B7" s="23" t="s">
        <v>15</v>
      </c>
      <c r="C7" s="23" t="n">
        <v>6518</v>
      </c>
      <c r="D7" s="34" t="n">
        <v>8180899</v>
      </c>
      <c r="E7" s="36" t="n">
        <v>8833.67</v>
      </c>
      <c r="F7" s="23" t="n">
        <v>44.16</v>
      </c>
      <c r="G7" s="1"/>
      <c r="H7" s="23" t="s">
        <v>57</v>
      </c>
      <c r="I7" s="23" t="n">
        <v>13957</v>
      </c>
      <c r="J7" s="23" t="n">
        <v>4.03</v>
      </c>
      <c r="K7" s="23" t="n">
        <v>20.2</v>
      </c>
      <c r="L7" s="23" t="n">
        <v>1.2</v>
      </c>
      <c r="M7" s="23" t="n">
        <v>934</v>
      </c>
      <c r="N7" s="23" t="n">
        <v>6.69</v>
      </c>
      <c r="O7" s="1"/>
      <c r="P7" s="1"/>
    </row>
    <row r="8" customFormat="false" ht="15" hidden="false" customHeight="false" outlineLevel="0" collapsed="false">
      <c r="A8" s="26" t="s">
        <v>194</v>
      </c>
      <c r="B8" s="26" t="s">
        <v>197</v>
      </c>
      <c r="C8" s="26" t="n">
        <v>5900</v>
      </c>
      <c r="D8" s="35" t="n">
        <v>7326819</v>
      </c>
      <c r="E8" s="37" t="n">
        <v>8943.66</v>
      </c>
      <c r="F8" s="26" t="n">
        <v>44.09</v>
      </c>
      <c r="G8" s="1"/>
      <c r="H8" s="26" t="s">
        <v>59</v>
      </c>
      <c r="I8" s="26" t="n">
        <v>13777</v>
      </c>
      <c r="J8" s="26" t="n">
        <v>2.95</v>
      </c>
      <c r="K8" s="26" t="n">
        <v>15.78</v>
      </c>
      <c r="L8" s="26" t="n">
        <v>1.84</v>
      </c>
      <c r="M8" s="26" t="n">
        <v>972</v>
      </c>
      <c r="N8" s="26" t="n">
        <v>7.06</v>
      </c>
      <c r="O8" s="1"/>
      <c r="P8" s="1"/>
    </row>
    <row r="9" customFormat="false" ht="15" hidden="false" customHeight="false" outlineLevel="0" collapsed="false">
      <c r="A9" s="23" t="s">
        <v>194</v>
      </c>
      <c r="B9" s="23" t="s">
        <v>199</v>
      </c>
      <c r="C9" s="23" t="n">
        <v>5162</v>
      </c>
      <c r="D9" s="34" t="n">
        <v>6841010</v>
      </c>
      <c r="E9" s="36" t="n">
        <v>9231.5</v>
      </c>
      <c r="F9" s="23" t="n">
        <v>47.07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customFormat="false" ht="15" hidden="false" customHeight="false" outlineLevel="0" collapsed="false">
      <c r="A10" s="26" t="s">
        <v>198</v>
      </c>
      <c r="B10" s="26" t="s">
        <v>15</v>
      </c>
      <c r="C10" s="26" t="n">
        <v>5292</v>
      </c>
      <c r="D10" s="35" t="n">
        <v>6784075</v>
      </c>
      <c r="E10" s="37" t="n">
        <v>8807.33</v>
      </c>
      <c r="F10" s="26" t="n">
        <v>43.88</v>
      </c>
      <c r="G10" s="1"/>
      <c r="H10" s="21" t="s">
        <v>280</v>
      </c>
      <c r="I10" s="21" t="s">
        <v>28</v>
      </c>
      <c r="J10" s="21" t="s">
        <v>281</v>
      </c>
      <c r="K10" s="21" t="s">
        <v>282</v>
      </c>
      <c r="L10" s="21" t="s">
        <v>283</v>
      </c>
      <c r="M10" s="21" t="s">
        <v>217</v>
      </c>
      <c r="N10" s="1"/>
      <c r="O10" s="1"/>
      <c r="P10" s="1"/>
    </row>
    <row r="11" customFormat="false" ht="15" hidden="false" customHeight="false" outlineLevel="0" collapsed="false">
      <c r="A11" s="23" t="s">
        <v>196</v>
      </c>
      <c r="B11" s="23" t="s">
        <v>197</v>
      </c>
      <c r="C11" s="23" t="n">
        <v>4412</v>
      </c>
      <c r="D11" s="34" t="n">
        <v>5606237</v>
      </c>
      <c r="E11" s="36" t="n">
        <v>8898.8</v>
      </c>
      <c r="F11" s="23" t="n">
        <v>44.05</v>
      </c>
      <c r="G11" s="1"/>
      <c r="H11" s="23" t="s">
        <v>135</v>
      </c>
      <c r="I11" s="23" t="n">
        <v>17864</v>
      </c>
      <c r="J11" s="34" t="n">
        <v>21770139</v>
      </c>
      <c r="K11" s="34" t="n">
        <v>24529545</v>
      </c>
      <c r="L11" s="34" t="n">
        <v>12899974</v>
      </c>
      <c r="M11" s="23" t="n">
        <v>54.11</v>
      </c>
      <c r="N11" s="1"/>
      <c r="O11" s="1"/>
      <c r="P11" s="1"/>
    </row>
    <row r="12" customFormat="false" ht="15" hidden="false" customHeight="false" outlineLevel="0" collapsed="false">
      <c r="A12" s="26" t="s">
        <v>195</v>
      </c>
      <c r="B12" s="26" t="s">
        <v>197</v>
      </c>
      <c r="C12" s="26" t="n">
        <v>4387</v>
      </c>
      <c r="D12" s="35" t="n">
        <v>5589243</v>
      </c>
      <c r="E12" s="37" t="n">
        <v>8790.85</v>
      </c>
      <c r="F12" s="26" t="n">
        <v>44.02</v>
      </c>
      <c r="G12" s="1"/>
      <c r="H12" s="26" t="s">
        <v>137</v>
      </c>
      <c r="I12" s="26" t="n">
        <v>35031</v>
      </c>
      <c r="J12" s="35" t="n">
        <v>42088168</v>
      </c>
      <c r="K12" s="35" t="n">
        <v>44374712</v>
      </c>
      <c r="L12" s="35" t="n">
        <v>21851907</v>
      </c>
      <c r="M12" s="26" t="n">
        <v>51.05</v>
      </c>
      <c r="N12" s="1"/>
      <c r="O12" s="1"/>
      <c r="P12" s="1"/>
    </row>
    <row r="13" customFormat="false" ht="15" hidden="false" customHeight="false" outlineLevel="0" collapsed="false">
      <c r="A13" s="23" t="s">
        <v>194</v>
      </c>
      <c r="B13" s="23" t="s">
        <v>204</v>
      </c>
      <c r="C13" s="23" t="n">
        <v>4344</v>
      </c>
      <c r="D13" s="34" t="n">
        <v>5473132</v>
      </c>
      <c r="E13" s="36" t="n">
        <v>8798.15</v>
      </c>
      <c r="F13" s="23" t="n">
        <v>43.64</v>
      </c>
      <c r="G13" s="1"/>
      <c r="H13" s="23" t="s">
        <v>139</v>
      </c>
      <c r="I13" s="23" t="n">
        <v>49198</v>
      </c>
      <c r="J13" s="34" t="n">
        <v>61708018</v>
      </c>
      <c r="K13" s="34" t="n">
        <v>59606722</v>
      </c>
      <c r="L13" s="34" t="n">
        <v>26735325</v>
      </c>
      <c r="M13" s="23" t="n">
        <v>46.66</v>
      </c>
      <c r="N13" s="1"/>
      <c r="O13" s="1"/>
      <c r="P13" s="1"/>
    </row>
    <row r="14" customFormat="false" ht="15" hidden="false" customHeight="false" outlineLevel="0" collapsed="false">
      <c r="A14" s="26" t="s">
        <v>200</v>
      </c>
      <c r="B14" s="26" t="s">
        <v>15</v>
      </c>
      <c r="C14" s="26" t="n">
        <v>4445</v>
      </c>
      <c r="D14" s="35" t="n">
        <v>5452157</v>
      </c>
      <c r="E14" s="37" t="n">
        <v>8742.58</v>
      </c>
      <c r="F14" s="26" t="n">
        <v>44.32</v>
      </c>
      <c r="G14" s="1"/>
      <c r="H14" s="26" t="s">
        <v>141</v>
      </c>
      <c r="I14" s="26" t="n">
        <v>36023</v>
      </c>
      <c r="J14" s="35" t="n">
        <v>64396235</v>
      </c>
      <c r="K14" s="35" t="n">
        <v>48623284</v>
      </c>
      <c r="L14" s="35" t="n">
        <v>14659190</v>
      </c>
      <c r="M14" s="26" t="n">
        <v>32.58</v>
      </c>
      <c r="N14" s="1"/>
      <c r="O14" s="1"/>
      <c r="P14" s="1"/>
    </row>
    <row r="15" customFormat="false" ht="15" hidden="false" customHeight="false" outlineLevel="0" collapsed="false">
      <c r="A15" s="23" t="s">
        <v>195</v>
      </c>
      <c r="B15" s="23" t="s">
        <v>199</v>
      </c>
      <c r="C15" s="23" t="n">
        <v>3897</v>
      </c>
      <c r="D15" s="34" t="n">
        <v>5159099</v>
      </c>
      <c r="E15" s="36" t="n">
        <v>9232.66</v>
      </c>
      <c r="F15" s="23" t="n">
        <v>47.04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customFormat="false" ht="15" hidden="false" customHeight="false" outlineLevel="0" collapsed="false">
      <c r="A16" s="26" t="s">
        <v>196</v>
      </c>
      <c r="B16" s="26" t="s">
        <v>199</v>
      </c>
      <c r="C16" s="26" t="n">
        <v>3928</v>
      </c>
      <c r="D16" s="35" t="n">
        <v>5088429</v>
      </c>
      <c r="E16" s="37" t="n">
        <v>9357.11</v>
      </c>
      <c r="F16" s="26" t="n">
        <v>47.09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customFormat="false" ht="15" hidden="false" customHeight="false" outlineLevel="0" collapsed="false">
      <c r="A17" s="23" t="s">
        <v>194</v>
      </c>
      <c r="B17" s="23" t="s">
        <v>207</v>
      </c>
      <c r="C17" s="23" t="n">
        <v>3406</v>
      </c>
      <c r="D17" s="34" t="n">
        <v>4678772</v>
      </c>
      <c r="E17" s="36" t="n">
        <v>9173.06</v>
      </c>
      <c r="F17" s="23" t="n">
        <v>48.17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customFormat="false" ht="15" hidden="false" customHeight="false" outlineLevel="0" collapsed="false">
      <c r="A18" s="26" t="s">
        <v>284</v>
      </c>
      <c r="B18" s="26" t="s">
        <v>15</v>
      </c>
      <c r="C18" s="26" t="n">
        <v>3545</v>
      </c>
      <c r="D18" s="35" t="n">
        <v>4551908</v>
      </c>
      <c r="E18" s="37" t="n">
        <v>8794.73</v>
      </c>
      <c r="F18" s="26" t="n">
        <v>44.16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customFormat="false" ht="15" hidden="false" customHeight="false" outlineLevel="0" collapsed="false">
      <c r="A19" s="23" t="s">
        <v>202</v>
      </c>
      <c r="B19" s="23" t="s">
        <v>15</v>
      </c>
      <c r="C19" s="23" t="n">
        <v>3538</v>
      </c>
      <c r="D19" s="34" t="n">
        <v>4543279</v>
      </c>
      <c r="E19" s="36" t="n">
        <v>8806.54</v>
      </c>
      <c r="F19" s="23" t="n">
        <v>44.2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customFormat="false" ht="15" hidden="false" customHeight="false" outlineLevel="0" collapsed="false">
      <c r="A20" s="26" t="s">
        <v>198</v>
      </c>
      <c r="B20" s="26" t="s">
        <v>197</v>
      </c>
      <c r="C20" s="26" t="n">
        <v>3596</v>
      </c>
      <c r="D20" s="35" t="n">
        <v>4470496</v>
      </c>
      <c r="E20" s="37" t="n">
        <v>8845.49</v>
      </c>
      <c r="F20" s="26" t="n">
        <v>43.76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customFormat="false" ht="15" hidden="false" customHeight="false" outlineLevel="0" collapsed="false">
      <c r="A21" s="23" t="s">
        <v>198</v>
      </c>
      <c r="B21" s="23" t="s">
        <v>199</v>
      </c>
      <c r="C21" s="23" t="n">
        <v>3159</v>
      </c>
      <c r="D21" s="34" t="n">
        <v>4208853</v>
      </c>
      <c r="E21" s="36" t="n">
        <v>9211.79</v>
      </c>
      <c r="F21" s="23" t="n">
        <v>47.17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customFormat="false" ht="15" hidden="false" customHeight="false" outlineLevel="0" collapsed="false">
      <c r="A22" s="26" t="s">
        <v>195</v>
      </c>
      <c r="B22" s="26" t="s">
        <v>204</v>
      </c>
      <c r="C22" s="26" t="n">
        <v>3329</v>
      </c>
      <c r="D22" s="35" t="n">
        <v>4168888</v>
      </c>
      <c r="E22" s="37" t="n">
        <v>8863.67</v>
      </c>
      <c r="F22" s="26" t="n">
        <v>43.63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15" hidden="false" customHeight="false" outlineLevel="0" collapsed="false">
      <c r="A23" s="23" t="s">
        <v>196</v>
      </c>
      <c r="B23" s="23" t="s">
        <v>204</v>
      </c>
      <c r="C23" s="23" t="n">
        <v>3193</v>
      </c>
      <c r="D23" s="34" t="n">
        <v>3986007</v>
      </c>
      <c r="E23" s="36" t="n">
        <v>8862.42</v>
      </c>
      <c r="F23" s="23" t="n">
        <v>43.96</v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15" hidden="false" customHeight="false" outlineLevel="0" collapsed="false">
      <c r="A24" s="26" t="s">
        <v>200</v>
      </c>
      <c r="B24" s="26" t="s">
        <v>197</v>
      </c>
      <c r="C24" s="26" t="n">
        <v>2919</v>
      </c>
      <c r="D24" s="35" t="n">
        <v>3624991</v>
      </c>
      <c r="E24" s="37" t="n">
        <v>8722.74</v>
      </c>
      <c r="F24" s="26" t="n">
        <v>43.99</v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customFormat="false" ht="15" hidden="false" customHeight="false" outlineLevel="0" collapsed="false">
      <c r="A25" s="23" t="s">
        <v>200</v>
      </c>
      <c r="B25" s="23" t="s">
        <v>199</v>
      </c>
      <c r="C25" s="23" t="n">
        <v>2657</v>
      </c>
      <c r="D25" s="34" t="n">
        <v>3529698</v>
      </c>
      <c r="E25" s="36" t="n">
        <v>9203.49</v>
      </c>
      <c r="F25" s="23" t="n">
        <v>46.86</v>
      </c>
      <c r="G25" s="1"/>
      <c r="H25" s="1"/>
      <c r="I25" s="1"/>
      <c r="J25" s="1"/>
      <c r="K25" s="1"/>
      <c r="L25" s="1"/>
      <c r="M25" s="1"/>
      <c r="N25" s="1"/>
      <c r="O25" s="1"/>
      <c r="P25" s="1"/>
    </row>
    <row r="26" customFormat="false" ht="15" hidden="false" customHeight="false" outlineLevel="0" collapsed="false">
      <c r="A26" s="26" t="s">
        <v>195</v>
      </c>
      <c r="B26" s="26" t="s">
        <v>207</v>
      </c>
      <c r="C26" s="26" t="n">
        <v>2487</v>
      </c>
      <c r="D26" s="35" t="n">
        <v>3417248</v>
      </c>
      <c r="E26" s="37" t="n">
        <v>9337.12</v>
      </c>
      <c r="F26" s="26" t="n">
        <v>47.78</v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15" hidden="false" customHeight="false" outlineLevel="0" collapsed="false">
      <c r="A27" s="23" t="s">
        <v>198</v>
      </c>
      <c r="B27" s="23" t="s">
        <v>204</v>
      </c>
      <c r="C27" s="23" t="n">
        <v>2660</v>
      </c>
      <c r="D27" s="34" t="n">
        <v>3344761</v>
      </c>
      <c r="E27" s="36" t="n">
        <v>8888.27</v>
      </c>
      <c r="F27" s="23" t="n">
        <v>43.4</v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15" hidden="false" customHeight="false" outlineLevel="0" collapsed="false">
      <c r="A28" s="26" t="s">
        <v>196</v>
      </c>
      <c r="B28" s="26" t="s">
        <v>207</v>
      </c>
      <c r="C28" s="26" t="n">
        <v>2464</v>
      </c>
      <c r="D28" s="35" t="n">
        <v>3256313</v>
      </c>
      <c r="E28" s="37" t="n">
        <v>9477.82</v>
      </c>
      <c r="F28" s="26" t="n">
        <v>48.53</v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15" hidden="false" customHeight="false" outlineLevel="0" collapsed="false">
      <c r="A29" s="23" t="s">
        <v>202</v>
      </c>
      <c r="B29" s="23" t="s">
        <v>197</v>
      </c>
      <c r="C29" s="23" t="n">
        <v>2436</v>
      </c>
      <c r="D29" s="34" t="n">
        <v>3077879</v>
      </c>
      <c r="E29" s="36" t="n">
        <v>8900.24</v>
      </c>
      <c r="F29" s="23" t="n">
        <v>44.34</v>
      </c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15" hidden="false" customHeight="false" outlineLevel="0" collapsed="false">
      <c r="A30" s="26" t="s">
        <v>284</v>
      </c>
      <c r="B30" s="26" t="s">
        <v>197</v>
      </c>
      <c r="C30" s="26" t="n">
        <v>2435</v>
      </c>
      <c r="D30" s="35" t="n">
        <v>3041646</v>
      </c>
      <c r="E30" s="37" t="n">
        <v>8835.77</v>
      </c>
      <c r="F30" s="26" t="n">
        <v>43.83</v>
      </c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5" hidden="false" customHeight="false" outlineLevel="0" collapsed="false">
      <c r="A31" s="23" t="s">
        <v>284</v>
      </c>
      <c r="B31" s="23" t="s">
        <v>199</v>
      </c>
      <c r="C31" s="23" t="n">
        <v>2202</v>
      </c>
      <c r="D31" s="34" t="n">
        <v>2997842</v>
      </c>
      <c r="E31" s="36" t="n">
        <v>9333.37</v>
      </c>
      <c r="F31" s="23" t="n">
        <v>46.94</v>
      </c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5" hidden="false" customHeight="false" outlineLevel="0" collapsed="false">
      <c r="A32" s="26" t="s">
        <v>200</v>
      </c>
      <c r="B32" s="26" t="s">
        <v>204</v>
      </c>
      <c r="C32" s="26" t="n">
        <v>2170</v>
      </c>
      <c r="D32" s="35" t="n">
        <v>2849579</v>
      </c>
      <c r="E32" s="37" t="n">
        <v>9017.11</v>
      </c>
      <c r="F32" s="26" t="n">
        <v>43.84</v>
      </c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5" hidden="false" customHeight="false" outlineLevel="0" collapsed="false">
      <c r="A33" s="23" t="s">
        <v>202</v>
      </c>
      <c r="B33" s="23" t="s">
        <v>199</v>
      </c>
      <c r="C33" s="23" t="n">
        <v>2156</v>
      </c>
      <c r="D33" s="34" t="n">
        <v>2845867</v>
      </c>
      <c r="E33" s="36" t="n">
        <v>9348.42</v>
      </c>
      <c r="F33" s="23" t="n">
        <v>47.2</v>
      </c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5" hidden="false" customHeight="false" outlineLevel="0" collapsed="false">
      <c r="A34" s="26" t="s">
        <v>203</v>
      </c>
      <c r="B34" s="26" t="s">
        <v>15</v>
      </c>
      <c r="C34" s="26" t="n">
        <v>2197</v>
      </c>
      <c r="D34" s="35" t="n">
        <v>2786093</v>
      </c>
      <c r="E34" s="37" t="n">
        <v>8768.16</v>
      </c>
      <c r="F34" s="26" t="n">
        <v>44.3</v>
      </c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5" hidden="false" customHeight="false" outlineLevel="0" collapsed="false">
      <c r="A35" s="23" t="s">
        <v>198</v>
      </c>
      <c r="B35" s="23" t="s">
        <v>207</v>
      </c>
      <c r="C35" s="23" t="n">
        <v>1944</v>
      </c>
      <c r="D35" s="34" t="n">
        <v>2564286</v>
      </c>
      <c r="E35" s="36" t="n">
        <v>9282.88</v>
      </c>
      <c r="F35" s="23" t="n">
        <v>48.12</v>
      </c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" hidden="false" customHeight="false" outlineLevel="0" collapsed="false">
      <c r="A36" s="26" t="s">
        <v>200</v>
      </c>
      <c r="B36" s="26" t="s">
        <v>207</v>
      </c>
      <c r="C36" s="26" t="n">
        <v>1610</v>
      </c>
      <c r="D36" s="35" t="n">
        <v>2220022</v>
      </c>
      <c r="E36" s="37" t="n">
        <v>9500.08</v>
      </c>
      <c r="F36" s="26" t="n">
        <v>47.83</v>
      </c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5" hidden="false" customHeight="false" outlineLevel="0" collapsed="false">
      <c r="A37" s="23" t="s">
        <v>205</v>
      </c>
      <c r="B37" s="23" t="s">
        <v>15</v>
      </c>
      <c r="C37" s="23" t="n">
        <v>1700</v>
      </c>
      <c r="D37" s="34" t="n">
        <v>2126372</v>
      </c>
      <c r="E37" s="36" t="n">
        <v>8681.12</v>
      </c>
      <c r="F37" s="23" t="n">
        <v>44.24</v>
      </c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" hidden="false" customHeight="false" outlineLevel="0" collapsed="false">
      <c r="A38" s="26" t="s">
        <v>202</v>
      </c>
      <c r="B38" s="26" t="s">
        <v>204</v>
      </c>
      <c r="C38" s="26" t="n">
        <v>1726</v>
      </c>
      <c r="D38" s="35" t="n">
        <v>2046429</v>
      </c>
      <c r="E38" s="37" t="n">
        <v>8753.22</v>
      </c>
      <c r="F38" s="26" t="n">
        <v>43.67</v>
      </c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5" hidden="false" customHeight="false" outlineLevel="0" collapsed="false">
      <c r="A39" s="23" t="s">
        <v>284</v>
      </c>
      <c r="B39" s="23" t="s">
        <v>204</v>
      </c>
      <c r="C39" s="23" t="n">
        <v>1656</v>
      </c>
      <c r="D39" s="34" t="n">
        <v>2000162</v>
      </c>
      <c r="E39" s="36" t="n">
        <v>8710.21</v>
      </c>
      <c r="F39" s="23" t="n">
        <v>43.44</v>
      </c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5" hidden="false" customHeight="false" outlineLevel="0" collapsed="false">
      <c r="A40" s="26" t="s">
        <v>203</v>
      </c>
      <c r="B40" s="26" t="s">
        <v>197</v>
      </c>
      <c r="C40" s="26" t="n">
        <v>1496</v>
      </c>
      <c r="D40" s="35" t="n">
        <v>1886258</v>
      </c>
      <c r="E40" s="37" t="n">
        <v>8987.21</v>
      </c>
      <c r="F40" s="26" t="n">
        <v>44.07</v>
      </c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5" hidden="false" customHeight="false" outlineLevel="0" collapsed="false">
      <c r="A41" s="23" t="s">
        <v>284</v>
      </c>
      <c r="B41" s="23" t="s">
        <v>207</v>
      </c>
      <c r="C41" s="23" t="n">
        <v>1380</v>
      </c>
      <c r="D41" s="34" t="n">
        <v>1828889</v>
      </c>
      <c r="E41" s="36" t="n">
        <v>9350.3</v>
      </c>
      <c r="F41" s="23" t="n">
        <v>47.72</v>
      </c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15" hidden="false" customHeight="false" outlineLevel="0" collapsed="false">
      <c r="A42" s="26" t="s">
        <v>202</v>
      </c>
      <c r="B42" s="26" t="s">
        <v>207</v>
      </c>
      <c r="C42" s="26" t="n">
        <v>1335</v>
      </c>
      <c r="D42" s="35" t="n">
        <v>1828671</v>
      </c>
      <c r="E42" s="37" t="n">
        <v>9299.58</v>
      </c>
      <c r="F42" s="26" t="n">
        <v>48.33</v>
      </c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15" hidden="false" customHeight="false" outlineLevel="0" collapsed="false">
      <c r="A43" s="23" t="s">
        <v>203</v>
      </c>
      <c r="B43" s="23" t="s">
        <v>199</v>
      </c>
      <c r="C43" s="23" t="n">
        <v>1295</v>
      </c>
      <c r="D43" s="34" t="n">
        <v>1654883</v>
      </c>
      <c r="E43" s="36" t="n">
        <v>9185.01</v>
      </c>
      <c r="F43" s="23" t="n">
        <v>47.24</v>
      </c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15" hidden="false" customHeight="false" outlineLevel="0" collapsed="false">
      <c r="A44" s="26" t="s">
        <v>206</v>
      </c>
      <c r="B44" s="26" t="s">
        <v>15</v>
      </c>
      <c r="C44" s="26" t="n">
        <v>1292</v>
      </c>
      <c r="D44" s="35" t="n">
        <v>1618627</v>
      </c>
      <c r="E44" s="37" t="n">
        <v>8852.65</v>
      </c>
      <c r="F44" s="26" t="n">
        <v>44.48</v>
      </c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15" hidden="false" customHeight="false" outlineLevel="0" collapsed="false">
      <c r="A45" s="23" t="s">
        <v>205</v>
      </c>
      <c r="B45" s="23" t="s">
        <v>197</v>
      </c>
      <c r="C45" s="23" t="n">
        <v>1135</v>
      </c>
      <c r="D45" s="34" t="n">
        <v>1419976</v>
      </c>
      <c r="E45" s="36" t="n">
        <v>8914.93</v>
      </c>
      <c r="F45" s="23" t="n">
        <v>44.52</v>
      </c>
      <c r="G45" s="1"/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5" hidden="false" customHeight="false" outlineLevel="0" collapsed="false">
      <c r="A46" s="26" t="s">
        <v>203</v>
      </c>
      <c r="B46" s="26" t="s">
        <v>204</v>
      </c>
      <c r="C46" s="26" t="n">
        <v>1064</v>
      </c>
      <c r="D46" s="35" t="n">
        <v>1405774</v>
      </c>
      <c r="E46" s="37" t="n">
        <v>8976.23</v>
      </c>
      <c r="F46" s="26" t="n">
        <v>43.68</v>
      </c>
      <c r="G46" s="1"/>
      <c r="H46" s="1"/>
      <c r="I46" s="1"/>
      <c r="J46" s="1"/>
      <c r="K46" s="1"/>
      <c r="L46" s="1"/>
      <c r="M46" s="1"/>
      <c r="N46" s="1"/>
      <c r="O46" s="1"/>
      <c r="P46" s="1"/>
    </row>
    <row r="47" customFormat="false" ht="15" hidden="false" customHeight="false" outlineLevel="0" collapsed="false">
      <c r="A47" s="23" t="s">
        <v>205</v>
      </c>
      <c r="B47" s="23" t="s">
        <v>199</v>
      </c>
      <c r="C47" s="23" t="n">
        <v>1036</v>
      </c>
      <c r="D47" s="34" t="n">
        <v>1390776</v>
      </c>
      <c r="E47" s="36" t="n">
        <v>9308.39</v>
      </c>
      <c r="F47" s="23" t="n">
        <v>46.65</v>
      </c>
      <c r="G47" s="1"/>
      <c r="H47" s="1"/>
      <c r="I47" s="1"/>
      <c r="J47" s="1"/>
      <c r="K47" s="1"/>
      <c r="L47" s="1"/>
      <c r="M47" s="1"/>
      <c r="N47" s="1"/>
      <c r="O47" s="1"/>
      <c r="P47" s="1"/>
    </row>
    <row r="48" customFormat="false" ht="15" hidden="false" customHeight="false" outlineLevel="0" collapsed="false">
      <c r="A48" s="26" t="s">
        <v>206</v>
      </c>
      <c r="B48" s="26" t="s">
        <v>197</v>
      </c>
      <c r="C48" s="26" t="n">
        <v>911</v>
      </c>
      <c r="D48" s="35" t="n">
        <v>1127562</v>
      </c>
      <c r="E48" s="37" t="n">
        <v>9072.51</v>
      </c>
      <c r="F48" s="26" t="n">
        <v>44.07</v>
      </c>
      <c r="G48" s="1"/>
      <c r="H48" s="1"/>
      <c r="I48" s="1"/>
      <c r="J48" s="1"/>
      <c r="K48" s="1"/>
      <c r="L48" s="1"/>
      <c r="M48" s="1"/>
      <c r="N48" s="1"/>
      <c r="O48" s="1"/>
      <c r="P48" s="1"/>
    </row>
    <row r="49" customFormat="false" ht="15" hidden="false" customHeight="false" outlineLevel="0" collapsed="false">
      <c r="A49" s="23" t="s">
        <v>203</v>
      </c>
      <c r="B49" s="23" t="s">
        <v>207</v>
      </c>
      <c r="C49" s="23" t="n">
        <v>796</v>
      </c>
      <c r="D49" s="34" t="n">
        <v>1094891</v>
      </c>
      <c r="E49" s="36" t="n">
        <v>9307.08</v>
      </c>
      <c r="F49" s="23" t="n">
        <v>47.75</v>
      </c>
      <c r="G49" s="1"/>
      <c r="H49" s="1"/>
      <c r="I49" s="1"/>
      <c r="J49" s="1"/>
      <c r="K49" s="1"/>
      <c r="L49" s="1"/>
      <c r="M49" s="1"/>
      <c r="N49" s="1"/>
      <c r="O49" s="1"/>
      <c r="P49" s="1"/>
    </row>
    <row r="50" customFormat="false" ht="15" hidden="false" customHeight="false" outlineLevel="0" collapsed="false">
      <c r="A50" s="26" t="s">
        <v>206</v>
      </c>
      <c r="B50" s="26" t="s">
        <v>199</v>
      </c>
      <c r="C50" s="26" t="n">
        <v>781</v>
      </c>
      <c r="D50" s="35" t="n">
        <v>1038641</v>
      </c>
      <c r="E50" s="37" t="n">
        <v>9177.47</v>
      </c>
      <c r="F50" s="26" t="n">
        <v>46.47</v>
      </c>
      <c r="G50" s="1"/>
      <c r="H50" s="1"/>
      <c r="I50" s="1"/>
      <c r="J50" s="1"/>
      <c r="K50" s="1"/>
      <c r="L50" s="1"/>
      <c r="M50" s="1"/>
      <c r="N50" s="1"/>
      <c r="O50" s="1"/>
      <c r="P50" s="1"/>
    </row>
    <row r="51" customFormat="false" ht="15" hidden="false" customHeight="false" outlineLevel="0" collapsed="false">
      <c r="A51" s="23" t="s">
        <v>205</v>
      </c>
      <c r="B51" s="23" t="s">
        <v>204</v>
      </c>
      <c r="C51" s="23" t="n">
        <v>851</v>
      </c>
      <c r="D51" s="34" t="n">
        <v>1031966</v>
      </c>
      <c r="E51" s="36" t="n">
        <v>8920.58</v>
      </c>
      <c r="F51" s="23" t="n">
        <v>43.96</v>
      </c>
      <c r="G51" s="1"/>
      <c r="H51" s="1"/>
      <c r="I51" s="1"/>
      <c r="J51" s="1"/>
      <c r="K51" s="1"/>
      <c r="L51" s="1"/>
      <c r="M51" s="1"/>
      <c r="N51" s="1"/>
      <c r="O51" s="1"/>
      <c r="P51" s="1"/>
    </row>
    <row r="52" customFormat="false" ht="15" hidden="false" customHeight="false" outlineLevel="0" collapsed="false">
      <c r="A52" s="26" t="s">
        <v>205</v>
      </c>
      <c r="B52" s="26" t="s">
        <v>207</v>
      </c>
      <c r="C52" s="26" t="n">
        <v>715</v>
      </c>
      <c r="D52" s="35" t="n">
        <v>1011113</v>
      </c>
      <c r="E52" s="37" t="n">
        <v>9318.45</v>
      </c>
      <c r="F52" s="26" t="n">
        <v>47.54</v>
      </c>
      <c r="G52" s="1"/>
      <c r="H52" s="1"/>
      <c r="I52" s="1"/>
      <c r="J52" s="1"/>
      <c r="K52" s="1"/>
      <c r="L52" s="1"/>
      <c r="M52" s="1"/>
      <c r="N52" s="1"/>
      <c r="O52" s="1"/>
      <c r="P52" s="1"/>
    </row>
    <row r="53" customFormat="false" ht="15" hidden="false" customHeight="false" outlineLevel="0" collapsed="false">
      <c r="A53" s="23" t="s">
        <v>206</v>
      </c>
      <c r="B53" s="23" t="s">
        <v>204</v>
      </c>
      <c r="C53" s="23" t="n">
        <v>609</v>
      </c>
      <c r="D53" s="34" t="n">
        <v>748190</v>
      </c>
      <c r="E53" s="36" t="n">
        <v>8852.33</v>
      </c>
      <c r="F53" s="23" t="n">
        <v>44.63</v>
      </c>
      <c r="G53" s="1"/>
      <c r="H53" s="1"/>
      <c r="I53" s="1"/>
      <c r="J53" s="1"/>
      <c r="K53" s="1"/>
      <c r="L53" s="1"/>
      <c r="M53" s="1"/>
      <c r="N53" s="1"/>
      <c r="O53" s="1"/>
      <c r="P53" s="1"/>
    </row>
    <row r="54" customFormat="false" ht="15" hidden="false" customHeight="false" outlineLevel="0" collapsed="false">
      <c r="A54" s="26" t="s">
        <v>206</v>
      </c>
      <c r="B54" s="26" t="s">
        <v>207</v>
      </c>
      <c r="C54" s="26" t="n">
        <v>487</v>
      </c>
      <c r="D54" s="35" t="n">
        <v>664971</v>
      </c>
      <c r="E54" s="37" t="n">
        <v>9314.07</v>
      </c>
      <c r="F54" s="26" t="n">
        <v>49.12</v>
      </c>
      <c r="G54" s="1"/>
      <c r="H54" s="1"/>
      <c r="I54" s="1"/>
      <c r="J54" s="1"/>
      <c r="K54" s="1"/>
      <c r="L54" s="1"/>
      <c r="M54" s="1"/>
      <c r="N54" s="1"/>
      <c r="O54" s="1"/>
      <c r="P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autoFilter ref="A4:F54"/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B0C0"/>
    <pageSetUpPr fitToPage="fals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2"/>
  </cols>
  <sheetData>
    <row r="1" customFormat="false" ht="19.5" hidden="false" customHeight="true" outlineLevel="0" collapsed="false">
      <c r="A1" s="28" t="s">
        <v>285</v>
      </c>
      <c r="B1" s="28"/>
      <c r="C1" s="28"/>
      <c r="D1" s="28"/>
      <c r="E1" s="28"/>
      <c r="F1" s="28"/>
      <c r="G1" s="28"/>
      <c r="H1" s="28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8" hidden="false" customHeight="true" outlineLevel="0" collapsed="false">
      <c r="A3" s="49" t="s">
        <v>286</v>
      </c>
      <c r="B3" s="50" t="s">
        <v>287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8" hidden="false" customHeight="true" outlineLevel="0" collapsed="false">
      <c r="A4" s="49" t="s">
        <v>288</v>
      </c>
      <c r="B4" s="51" t="s">
        <v>289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18" hidden="false" customHeight="true" outlineLevel="0" collapsed="false">
      <c r="A5" s="49" t="s">
        <v>290</v>
      </c>
      <c r="B5" s="50" t="s">
        <v>291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18" hidden="false" customHeight="true" outlineLevel="0" collapsed="false">
      <c r="A6" s="49" t="s">
        <v>292</v>
      </c>
      <c r="B6" s="51" t="s">
        <v>293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18" hidden="false" customHeight="true" outlineLevel="0" collapsed="false">
      <c r="A7" s="49" t="s">
        <v>294</v>
      </c>
      <c r="B7" s="50" t="s">
        <v>295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18" hidden="false" customHeight="true" outlineLevel="0" collapsed="false">
      <c r="A8" s="49" t="s">
        <v>296</v>
      </c>
      <c r="B8" s="51" t="s">
        <v>297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18" hidden="false" customHeight="true" outlineLevel="0" collapsed="false">
      <c r="A9" s="49" t="s">
        <v>298</v>
      </c>
      <c r="B9" s="50" t="s">
        <v>299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18" hidden="false" customHeight="true" outlineLevel="0" collapsed="false">
      <c r="A10" s="49" t="s">
        <v>300</v>
      </c>
      <c r="B10" s="51" t="s">
        <v>301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customFormat="false" ht="18" hidden="false" customHeight="true" outlineLevel="0" collapsed="false">
      <c r="A11" s="49" t="s">
        <v>302</v>
      </c>
      <c r="B11" s="50" t="s">
        <v>303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18" hidden="false" customHeight="true" outlineLevel="0" collapsed="false">
      <c r="A12" s="49" t="s">
        <v>304</v>
      </c>
      <c r="B12" s="51" t="s">
        <v>305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18" hidden="false" customHeight="true" outlineLevel="0" collapsed="false">
      <c r="A13" s="49" t="s">
        <v>306</v>
      </c>
      <c r="B13" s="50" t="s">
        <v>307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customFormat="false" ht="18" hidden="false" customHeight="true" outlineLevel="0" collapsed="false">
      <c r="A14" s="49" t="s">
        <v>308</v>
      </c>
      <c r="B14" s="51" t="s">
        <v>309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18" hidden="false" customHeight="true" outlineLevel="0" collapsed="false">
      <c r="A15" s="49" t="s">
        <v>310</v>
      </c>
      <c r="B15" s="50" t="s">
        <v>311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customFormat="false" ht="18" hidden="false" customHeight="true" outlineLevel="0" collapsed="false">
      <c r="A16" s="49" t="s">
        <v>312</v>
      </c>
      <c r="B16" s="51" t="s">
        <v>313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18" hidden="false" customHeight="true" outlineLevel="0" collapsed="false">
      <c r="A17" s="49" t="s">
        <v>314</v>
      </c>
      <c r="B17" s="50" t="s">
        <v>315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customFormat="false" ht="18" hidden="false" customHeight="true" outlineLevel="0" collapsed="false">
      <c r="A18" s="49" t="s">
        <v>316</v>
      </c>
      <c r="B18" s="51" t="s">
        <v>317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2026-09-26T08:07:07Z</dcterms:created>
  <dc:creator>openpyxl</dc:creator>
  <dc:description/>
  <dc:language>en-US</dc:language>
  <cp:lastModifiedBy/>
  <dcterms:modified xsi:type="dcterms:W3CDTF">2026-09-26T08:07:12Z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